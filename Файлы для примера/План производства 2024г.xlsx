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Ics\План производства\План производства\"/>
    </mc:Choice>
  </mc:AlternateContent>
  <bookViews>
    <workbookView xWindow="-120" yWindow="-120" windowWidth="24240" windowHeight="13140" activeTab="5"/>
  </bookViews>
  <sheets>
    <sheet name="декабрь" sheetId="70" r:id="rId1"/>
    <sheet name="январь" sheetId="71" r:id="rId2"/>
    <sheet name="февраль" sheetId="72" r:id="rId3"/>
    <sheet name="март" sheetId="73" r:id="rId4"/>
    <sheet name="апрель" sheetId="74" r:id="rId5"/>
    <sheet name="май" sheetId="75" r:id="rId6"/>
  </sheets>
  <definedNames>
    <definedName name="_xlnm._FilterDatabase" localSheetId="4" hidden="1">апрель!$A$10:$R$10</definedName>
    <definedName name="_xlnm._FilterDatabase" localSheetId="0" hidden="1">декабрь!$A$10:$R$10</definedName>
    <definedName name="_xlnm._FilterDatabase" localSheetId="5" hidden="1">май!$A$10:$R$10</definedName>
    <definedName name="_xlnm._FilterDatabase" localSheetId="3" hidden="1">март!$A$10:$R$10</definedName>
    <definedName name="_xlnm._FilterDatabase" localSheetId="2" hidden="1">февраль!$A$10:$R$10</definedName>
    <definedName name="_xlnm._FilterDatabase" localSheetId="1" hidden="1">январь!$A$10:$R$10</definedName>
    <definedName name="Z_08A00AA3_437A_449A_8B9D_FBC36B1FA377_.wvu.FilterData" localSheetId="4" hidden="1">апрель!$A$1:$O$355</definedName>
    <definedName name="Z_08A00AA3_437A_449A_8B9D_FBC36B1FA377_.wvu.FilterData" localSheetId="0" hidden="1">декабрь!$A$1:$O$389</definedName>
    <definedName name="Z_08A00AA3_437A_449A_8B9D_FBC36B1FA377_.wvu.FilterData" localSheetId="5" hidden="1">май!$A$1:$O$340</definedName>
    <definedName name="Z_08A00AA3_437A_449A_8B9D_FBC36B1FA377_.wvu.FilterData" localSheetId="3" hidden="1">март!$A$1:$O$358</definedName>
    <definedName name="Z_08A00AA3_437A_449A_8B9D_FBC36B1FA377_.wvu.FilterData" localSheetId="2" hidden="1">февраль!$A$1:$O$368</definedName>
    <definedName name="Z_08A00AA3_437A_449A_8B9D_FBC36B1FA377_.wvu.FilterData" localSheetId="1" hidden="1">январь!$A$1:$O$377</definedName>
    <definedName name="Z_0BC40F7A_548A_4096_83D9_5CB39B8650BF_.wvu.FilterData" localSheetId="4" hidden="1">апрель!$A$1:$O$355</definedName>
    <definedName name="Z_0BC40F7A_548A_4096_83D9_5CB39B8650BF_.wvu.FilterData" localSheetId="0" hidden="1">декабрь!$A$1:$O$389</definedName>
    <definedName name="Z_0BC40F7A_548A_4096_83D9_5CB39B8650BF_.wvu.FilterData" localSheetId="5" hidden="1">май!$A$1:$O$340</definedName>
    <definedName name="Z_0BC40F7A_548A_4096_83D9_5CB39B8650BF_.wvu.FilterData" localSheetId="3" hidden="1">март!$A$1:$O$358</definedName>
    <definedName name="Z_0BC40F7A_548A_4096_83D9_5CB39B8650BF_.wvu.FilterData" localSheetId="2" hidden="1">февраль!$A$1:$O$368</definedName>
    <definedName name="Z_0BC40F7A_548A_4096_83D9_5CB39B8650BF_.wvu.FilterData" localSheetId="1" hidden="1">январь!$A$1:$O$377</definedName>
    <definedName name="Z_14C731D6_0339_4F2B_AB8C_A56F6136D220_.wvu.FilterData" localSheetId="4" hidden="1">апрель!$A$1:$O$355</definedName>
    <definedName name="Z_14C731D6_0339_4F2B_AB8C_A56F6136D220_.wvu.FilterData" localSheetId="0" hidden="1">декабрь!$A$1:$O$389</definedName>
    <definedName name="Z_14C731D6_0339_4F2B_AB8C_A56F6136D220_.wvu.FilterData" localSheetId="5" hidden="1">май!$A$1:$O$340</definedName>
    <definedName name="Z_14C731D6_0339_4F2B_AB8C_A56F6136D220_.wvu.FilterData" localSheetId="3" hidden="1">март!$A$1:$O$358</definedName>
    <definedName name="Z_14C731D6_0339_4F2B_AB8C_A56F6136D220_.wvu.FilterData" localSheetId="2" hidden="1">февраль!$A$1:$O$368</definedName>
    <definedName name="Z_14C731D6_0339_4F2B_AB8C_A56F6136D220_.wvu.FilterData" localSheetId="1" hidden="1">январь!$A$1:$O$377</definedName>
    <definedName name="Z_16C18921_7E49_40A4_A784_65A44019A254_.wvu.FilterData" localSheetId="4" hidden="1">апрель!$A$1:$O$355</definedName>
    <definedName name="Z_16C18921_7E49_40A4_A784_65A44019A254_.wvu.FilterData" localSheetId="0" hidden="1">декабрь!$A$1:$O$389</definedName>
    <definedName name="Z_16C18921_7E49_40A4_A784_65A44019A254_.wvu.FilterData" localSheetId="5" hidden="1">май!$A$1:$O$340</definedName>
    <definedName name="Z_16C18921_7E49_40A4_A784_65A44019A254_.wvu.FilterData" localSheetId="3" hidden="1">март!$A$1:$O$358</definedName>
    <definedName name="Z_16C18921_7E49_40A4_A784_65A44019A254_.wvu.FilterData" localSheetId="2" hidden="1">февраль!$A$1:$O$368</definedName>
    <definedName name="Z_16C18921_7E49_40A4_A784_65A44019A254_.wvu.FilterData" localSheetId="1" hidden="1">январь!$A$1:$O$377</definedName>
    <definedName name="Z_18FAAD8F_78BD_4B7F_B071_99C194872F73_.wvu.FilterData" localSheetId="4" hidden="1">апрель!$A$1:$O$355</definedName>
    <definedName name="Z_18FAAD8F_78BD_4B7F_B071_99C194872F73_.wvu.FilterData" localSheetId="0" hidden="1">декабрь!$A$1:$O$389</definedName>
    <definedName name="Z_18FAAD8F_78BD_4B7F_B071_99C194872F73_.wvu.FilterData" localSheetId="5" hidden="1">май!$A$1:$O$340</definedName>
    <definedName name="Z_18FAAD8F_78BD_4B7F_B071_99C194872F73_.wvu.FilterData" localSheetId="3" hidden="1">март!$A$1:$O$358</definedName>
    <definedName name="Z_18FAAD8F_78BD_4B7F_B071_99C194872F73_.wvu.FilterData" localSheetId="2" hidden="1">февраль!$A$1:$O$368</definedName>
    <definedName name="Z_18FAAD8F_78BD_4B7F_B071_99C194872F73_.wvu.FilterData" localSheetId="1" hidden="1">январь!$A$1:$O$377</definedName>
    <definedName name="Z_1BD99C80_CDE5_4235_B40F_1254F15068AE_.wvu.FilterData" localSheetId="4" hidden="1">апрель!$A$1:$O$355</definedName>
    <definedName name="Z_1BD99C80_CDE5_4235_B40F_1254F15068AE_.wvu.FilterData" localSheetId="0" hidden="1">декабрь!$A$1:$O$389</definedName>
    <definedName name="Z_1BD99C80_CDE5_4235_B40F_1254F15068AE_.wvu.FilterData" localSheetId="5" hidden="1">май!$A$1:$O$340</definedName>
    <definedName name="Z_1BD99C80_CDE5_4235_B40F_1254F15068AE_.wvu.FilterData" localSheetId="3" hidden="1">март!$A$1:$O$358</definedName>
    <definedName name="Z_1BD99C80_CDE5_4235_B40F_1254F15068AE_.wvu.FilterData" localSheetId="2" hidden="1">февраль!$A$1:$O$368</definedName>
    <definedName name="Z_1BD99C80_CDE5_4235_B40F_1254F15068AE_.wvu.FilterData" localSheetId="1" hidden="1">январь!$A$1:$O$377</definedName>
    <definedName name="Z_207443AF_E36D_4B74_991F_3B8A10160F36_.wvu.FilterData" localSheetId="4" hidden="1">апрель!$A$1:$O$355</definedName>
    <definedName name="Z_207443AF_E36D_4B74_991F_3B8A10160F36_.wvu.FilterData" localSheetId="0" hidden="1">декабрь!$A$1:$O$389</definedName>
    <definedName name="Z_207443AF_E36D_4B74_991F_3B8A10160F36_.wvu.FilterData" localSheetId="5" hidden="1">май!$A$1:$O$340</definedName>
    <definedName name="Z_207443AF_E36D_4B74_991F_3B8A10160F36_.wvu.FilterData" localSheetId="3" hidden="1">март!$A$1:$O$358</definedName>
    <definedName name="Z_207443AF_E36D_4B74_991F_3B8A10160F36_.wvu.FilterData" localSheetId="2" hidden="1">февраль!$A$1:$O$368</definedName>
    <definedName name="Z_207443AF_E36D_4B74_991F_3B8A10160F36_.wvu.FilterData" localSheetId="1" hidden="1">январь!$A$1:$O$377</definedName>
    <definedName name="Z_23A26952_FF65_4349_8BC6_0ED41D96E4DC_.wvu.FilterData" localSheetId="4" hidden="1">апрель!$A$1:$O$355</definedName>
    <definedName name="Z_23A26952_FF65_4349_8BC6_0ED41D96E4DC_.wvu.FilterData" localSheetId="0" hidden="1">декабрь!$A$1:$O$389</definedName>
    <definedName name="Z_23A26952_FF65_4349_8BC6_0ED41D96E4DC_.wvu.FilterData" localSheetId="5" hidden="1">май!$A$1:$O$340</definedName>
    <definedName name="Z_23A26952_FF65_4349_8BC6_0ED41D96E4DC_.wvu.FilterData" localSheetId="3" hidden="1">март!$A$1:$O$358</definedName>
    <definedName name="Z_23A26952_FF65_4349_8BC6_0ED41D96E4DC_.wvu.FilterData" localSheetId="2" hidden="1">февраль!$A$1:$O$368</definedName>
    <definedName name="Z_23A26952_FF65_4349_8BC6_0ED41D96E4DC_.wvu.FilterData" localSheetId="1" hidden="1">январь!$A$1:$O$377</definedName>
    <definedName name="Z_26EED431_07E1_4E63_8A86_7004FA4BEDE9_.wvu.FilterData" localSheetId="4" hidden="1">апрель!$A$1:$O$355</definedName>
    <definedName name="Z_26EED431_07E1_4E63_8A86_7004FA4BEDE9_.wvu.FilterData" localSheetId="0" hidden="1">декабрь!$A$1:$O$389</definedName>
    <definedName name="Z_26EED431_07E1_4E63_8A86_7004FA4BEDE9_.wvu.FilterData" localSheetId="5" hidden="1">май!$A$1:$O$340</definedName>
    <definedName name="Z_26EED431_07E1_4E63_8A86_7004FA4BEDE9_.wvu.FilterData" localSheetId="3" hidden="1">март!$A$1:$O$358</definedName>
    <definedName name="Z_26EED431_07E1_4E63_8A86_7004FA4BEDE9_.wvu.FilterData" localSheetId="2" hidden="1">февраль!$A$1:$O$368</definedName>
    <definedName name="Z_26EED431_07E1_4E63_8A86_7004FA4BEDE9_.wvu.FilterData" localSheetId="1" hidden="1">январь!$A$1:$O$377</definedName>
    <definedName name="Z_28160402_718D_47ED_B21F_8E3397163727_.wvu.FilterData" localSheetId="4" hidden="1">апрель!$A$1:$O$355</definedName>
    <definedName name="Z_28160402_718D_47ED_B21F_8E3397163727_.wvu.FilterData" localSheetId="0" hidden="1">декабрь!$A$1:$O$389</definedName>
    <definedName name="Z_28160402_718D_47ED_B21F_8E3397163727_.wvu.FilterData" localSheetId="5" hidden="1">май!$A$1:$O$340</definedName>
    <definedName name="Z_28160402_718D_47ED_B21F_8E3397163727_.wvu.FilterData" localSheetId="3" hidden="1">март!$A$1:$O$358</definedName>
    <definedName name="Z_28160402_718D_47ED_B21F_8E3397163727_.wvu.FilterData" localSheetId="2" hidden="1">февраль!$A$1:$O$368</definedName>
    <definedName name="Z_28160402_718D_47ED_B21F_8E3397163727_.wvu.FilterData" localSheetId="1" hidden="1">январь!$A$1:$O$377</definedName>
    <definedName name="Z_2BAE7029_8180_43B9_AB01_EEBC4A3B89F5_.wvu.FilterData" localSheetId="4" hidden="1">апрель!$A$1:$O$355</definedName>
    <definedName name="Z_2BAE7029_8180_43B9_AB01_EEBC4A3B89F5_.wvu.FilterData" localSheetId="0" hidden="1">декабрь!$A$1:$O$389</definedName>
    <definedName name="Z_2BAE7029_8180_43B9_AB01_EEBC4A3B89F5_.wvu.FilterData" localSheetId="5" hidden="1">май!$A$1:$O$340</definedName>
    <definedName name="Z_2BAE7029_8180_43B9_AB01_EEBC4A3B89F5_.wvu.FilterData" localSheetId="3" hidden="1">март!$A$1:$O$358</definedName>
    <definedName name="Z_2BAE7029_8180_43B9_AB01_EEBC4A3B89F5_.wvu.FilterData" localSheetId="2" hidden="1">февраль!$A$1:$O$368</definedName>
    <definedName name="Z_2BAE7029_8180_43B9_AB01_EEBC4A3B89F5_.wvu.FilterData" localSheetId="1" hidden="1">январь!$A$1:$O$377</definedName>
    <definedName name="Z_2ED99C0D_A5F4_4B01_A4B7_C6D6176D2F19_.wvu.FilterData" localSheetId="4" hidden="1">апрель!$A$1:$O$355</definedName>
    <definedName name="Z_2ED99C0D_A5F4_4B01_A4B7_C6D6176D2F19_.wvu.FilterData" localSheetId="0" hidden="1">декабрь!$A$1:$O$389</definedName>
    <definedName name="Z_2ED99C0D_A5F4_4B01_A4B7_C6D6176D2F19_.wvu.FilterData" localSheetId="5" hidden="1">май!$A$1:$O$340</definedName>
    <definedName name="Z_2ED99C0D_A5F4_4B01_A4B7_C6D6176D2F19_.wvu.FilterData" localSheetId="3" hidden="1">март!$A$1:$O$358</definedName>
    <definedName name="Z_2ED99C0D_A5F4_4B01_A4B7_C6D6176D2F19_.wvu.FilterData" localSheetId="2" hidden="1">февраль!$A$1:$O$368</definedName>
    <definedName name="Z_2ED99C0D_A5F4_4B01_A4B7_C6D6176D2F19_.wvu.FilterData" localSheetId="1" hidden="1">январь!$A$1:$O$377</definedName>
    <definedName name="Z_32B25EC6_3443_4E6D_A99E_8B3C220B5719_.wvu.FilterData" localSheetId="4" hidden="1">апрель!$A$1:$O$355</definedName>
    <definedName name="Z_32B25EC6_3443_4E6D_A99E_8B3C220B5719_.wvu.FilterData" localSheetId="0" hidden="1">декабрь!$A$1:$O$389</definedName>
    <definedName name="Z_32B25EC6_3443_4E6D_A99E_8B3C220B5719_.wvu.FilterData" localSheetId="5" hidden="1">май!$A$1:$O$340</definedName>
    <definedName name="Z_32B25EC6_3443_4E6D_A99E_8B3C220B5719_.wvu.FilterData" localSheetId="3" hidden="1">март!$A$1:$O$358</definedName>
    <definedName name="Z_32B25EC6_3443_4E6D_A99E_8B3C220B5719_.wvu.FilterData" localSheetId="2" hidden="1">февраль!$A$1:$O$368</definedName>
    <definedName name="Z_32B25EC6_3443_4E6D_A99E_8B3C220B5719_.wvu.FilterData" localSheetId="1" hidden="1">январь!$A$1:$O$377</definedName>
    <definedName name="Z_3357617F_744D_4DBB_93AA_D4EFC6C9B218_.wvu.FilterData" localSheetId="4" hidden="1">апрель!$A$1:$O$355</definedName>
    <definedName name="Z_3357617F_744D_4DBB_93AA_D4EFC6C9B218_.wvu.FilterData" localSheetId="0" hidden="1">декабрь!$A$1:$O$389</definedName>
    <definedName name="Z_3357617F_744D_4DBB_93AA_D4EFC6C9B218_.wvu.FilterData" localSheetId="5" hidden="1">май!$A$1:$O$340</definedName>
    <definedName name="Z_3357617F_744D_4DBB_93AA_D4EFC6C9B218_.wvu.FilterData" localSheetId="3" hidden="1">март!$A$1:$O$358</definedName>
    <definedName name="Z_3357617F_744D_4DBB_93AA_D4EFC6C9B218_.wvu.FilterData" localSheetId="2" hidden="1">февраль!$A$1:$O$368</definedName>
    <definedName name="Z_3357617F_744D_4DBB_93AA_D4EFC6C9B218_.wvu.FilterData" localSheetId="1" hidden="1">январь!$A$1:$O$377</definedName>
    <definedName name="Z_386105B9_06C8_450D_B034_F74CE5F09557_.wvu.FilterData" localSheetId="4" hidden="1">апрель!$A$1:$O$355</definedName>
    <definedName name="Z_386105B9_06C8_450D_B034_F74CE5F09557_.wvu.FilterData" localSheetId="0" hidden="1">декабрь!$A$1:$O$389</definedName>
    <definedName name="Z_386105B9_06C8_450D_B034_F74CE5F09557_.wvu.FilterData" localSheetId="5" hidden="1">май!$A$1:$O$340</definedName>
    <definedName name="Z_386105B9_06C8_450D_B034_F74CE5F09557_.wvu.FilterData" localSheetId="3" hidden="1">март!$A$1:$O$358</definedName>
    <definedName name="Z_386105B9_06C8_450D_B034_F74CE5F09557_.wvu.FilterData" localSheetId="2" hidden="1">февраль!$A$1:$O$368</definedName>
    <definedName name="Z_386105B9_06C8_450D_B034_F74CE5F09557_.wvu.FilterData" localSheetId="1" hidden="1">январь!$A$1:$O$377</definedName>
    <definedName name="Z_4138FC1A_4F87_4896_9C9C_268DE4202EBA_.wvu.FilterData" localSheetId="4" hidden="1">апрель!$A$1:$O$355</definedName>
    <definedName name="Z_4138FC1A_4F87_4896_9C9C_268DE4202EBA_.wvu.FilterData" localSheetId="0" hidden="1">декабрь!$A$1:$O$389</definedName>
    <definedName name="Z_4138FC1A_4F87_4896_9C9C_268DE4202EBA_.wvu.FilterData" localSheetId="5" hidden="1">май!$A$1:$O$340</definedName>
    <definedName name="Z_4138FC1A_4F87_4896_9C9C_268DE4202EBA_.wvu.FilterData" localSheetId="3" hidden="1">март!$A$1:$O$358</definedName>
    <definedName name="Z_4138FC1A_4F87_4896_9C9C_268DE4202EBA_.wvu.FilterData" localSheetId="2" hidden="1">февраль!$A$1:$O$368</definedName>
    <definedName name="Z_4138FC1A_4F87_4896_9C9C_268DE4202EBA_.wvu.FilterData" localSheetId="1" hidden="1">январь!$A$1:$O$377</definedName>
    <definedName name="Z_4E4F4C61_9C1B_4F20_8C05_D9A87EBA0EB7_.wvu.FilterData" localSheetId="4" hidden="1">апрель!$A$1:$O$355</definedName>
    <definedName name="Z_4E4F4C61_9C1B_4F20_8C05_D9A87EBA0EB7_.wvu.FilterData" localSheetId="0" hidden="1">декабрь!$A$1:$O$389</definedName>
    <definedName name="Z_4E4F4C61_9C1B_4F20_8C05_D9A87EBA0EB7_.wvu.FilterData" localSheetId="5" hidden="1">май!$A$1:$O$340</definedName>
    <definedName name="Z_4E4F4C61_9C1B_4F20_8C05_D9A87EBA0EB7_.wvu.FilterData" localSheetId="3" hidden="1">март!$A$1:$O$358</definedName>
    <definedName name="Z_4E4F4C61_9C1B_4F20_8C05_D9A87EBA0EB7_.wvu.FilterData" localSheetId="2" hidden="1">февраль!$A$1:$O$368</definedName>
    <definedName name="Z_4E4F4C61_9C1B_4F20_8C05_D9A87EBA0EB7_.wvu.FilterData" localSheetId="1" hidden="1">январь!$A$1:$O$377</definedName>
    <definedName name="Z_4ECD53DF_6475_4457_95BF_90BA05000A58_.wvu.FilterData" localSheetId="4" hidden="1">апрель!$A$1:$O$355</definedName>
    <definedName name="Z_4ECD53DF_6475_4457_95BF_90BA05000A58_.wvu.FilterData" localSheetId="0" hidden="1">декабрь!$A$1:$O$389</definedName>
    <definedName name="Z_4ECD53DF_6475_4457_95BF_90BA05000A58_.wvu.FilterData" localSheetId="5" hidden="1">май!$A$1:$O$340</definedName>
    <definedName name="Z_4ECD53DF_6475_4457_95BF_90BA05000A58_.wvu.FilterData" localSheetId="3" hidden="1">март!$A$1:$O$358</definedName>
    <definedName name="Z_4ECD53DF_6475_4457_95BF_90BA05000A58_.wvu.FilterData" localSheetId="2" hidden="1">февраль!$A$1:$O$368</definedName>
    <definedName name="Z_4ECD53DF_6475_4457_95BF_90BA05000A58_.wvu.FilterData" localSheetId="1" hidden="1">январь!$A$1:$O$377</definedName>
    <definedName name="Z_5199B330_AAD6_4FFA_A088_2D00308F6C37_.wvu.FilterData" localSheetId="4" hidden="1">апрель!$A$1:$O$355</definedName>
    <definedName name="Z_5199B330_AAD6_4FFA_A088_2D00308F6C37_.wvu.FilterData" localSheetId="0" hidden="1">декабрь!$A$1:$O$389</definedName>
    <definedName name="Z_5199B330_AAD6_4FFA_A088_2D00308F6C37_.wvu.FilterData" localSheetId="5" hidden="1">май!$A$1:$O$340</definedName>
    <definedName name="Z_5199B330_AAD6_4FFA_A088_2D00308F6C37_.wvu.FilterData" localSheetId="3" hidden="1">март!$A$1:$O$358</definedName>
    <definedName name="Z_5199B330_AAD6_4FFA_A088_2D00308F6C37_.wvu.FilterData" localSheetId="2" hidden="1">февраль!$A$1:$O$368</definedName>
    <definedName name="Z_5199B330_AAD6_4FFA_A088_2D00308F6C37_.wvu.FilterData" localSheetId="1" hidden="1">январь!$A$1:$O$377</definedName>
    <definedName name="Z_52A7BEAB_E225_41B6_8801_4B0CB99CA2A8_.wvu.FilterData" localSheetId="4" hidden="1">апрель!$A$1:$O$355</definedName>
    <definedName name="Z_52A7BEAB_E225_41B6_8801_4B0CB99CA2A8_.wvu.FilterData" localSheetId="0" hidden="1">декабрь!$A$1:$O$389</definedName>
    <definedName name="Z_52A7BEAB_E225_41B6_8801_4B0CB99CA2A8_.wvu.FilterData" localSheetId="5" hidden="1">май!$A$1:$O$340</definedName>
    <definedName name="Z_52A7BEAB_E225_41B6_8801_4B0CB99CA2A8_.wvu.FilterData" localSheetId="3" hidden="1">март!$A$1:$O$358</definedName>
    <definedName name="Z_52A7BEAB_E225_41B6_8801_4B0CB99CA2A8_.wvu.FilterData" localSheetId="2" hidden="1">февраль!$A$1:$O$368</definedName>
    <definedName name="Z_52A7BEAB_E225_41B6_8801_4B0CB99CA2A8_.wvu.FilterData" localSheetId="1" hidden="1">январь!$A$1:$O$377</definedName>
    <definedName name="Z_53B7C5C4_E76D_4173_AFB5_365A3FBDABE0_.wvu.FilterData" localSheetId="4" hidden="1">апрель!$A$1:$O$355</definedName>
    <definedName name="Z_53B7C5C4_E76D_4173_AFB5_365A3FBDABE0_.wvu.FilterData" localSheetId="0" hidden="1">декабрь!$A$1:$O$389</definedName>
    <definedName name="Z_53B7C5C4_E76D_4173_AFB5_365A3FBDABE0_.wvu.FilterData" localSheetId="5" hidden="1">май!$A$1:$O$340</definedName>
    <definedName name="Z_53B7C5C4_E76D_4173_AFB5_365A3FBDABE0_.wvu.FilterData" localSheetId="3" hidden="1">март!$A$1:$O$358</definedName>
    <definedName name="Z_53B7C5C4_E76D_4173_AFB5_365A3FBDABE0_.wvu.FilterData" localSheetId="2" hidden="1">февраль!$A$1:$O$368</definedName>
    <definedName name="Z_53B7C5C4_E76D_4173_AFB5_365A3FBDABE0_.wvu.FilterData" localSheetId="1" hidden="1">январь!$A$1:$O$377</definedName>
    <definedName name="Z_542153BE_4456_4EDF_BB2B_A1AEFD890501_.wvu.FilterData" localSheetId="4" hidden="1">апрель!$A$1:$O$355</definedName>
    <definedName name="Z_542153BE_4456_4EDF_BB2B_A1AEFD890501_.wvu.FilterData" localSheetId="0" hidden="1">декабрь!$A$1:$O$389</definedName>
    <definedName name="Z_542153BE_4456_4EDF_BB2B_A1AEFD890501_.wvu.FilterData" localSheetId="5" hidden="1">май!$A$1:$O$340</definedName>
    <definedName name="Z_542153BE_4456_4EDF_BB2B_A1AEFD890501_.wvu.FilterData" localSheetId="3" hidden="1">март!$A$1:$O$358</definedName>
    <definedName name="Z_542153BE_4456_4EDF_BB2B_A1AEFD890501_.wvu.FilterData" localSheetId="2" hidden="1">февраль!$A$1:$O$368</definedName>
    <definedName name="Z_542153BE_4456_4EDF_BB2B_A1AEFD890501_.wvu.FilterData" localSheetId="1" hidden="1">январь!$A$1:$O$377</definedName>
    <definedName name="Z_57D60FDB_5FE5_4F7B_8CE2_AE1A5C17FE59_.wvu.FilterData" localSheetId="4" hidden="1">апрель!$A$1:$O$355</definedName>
    <definedName name="Z_57D60FDB_5FE5_4F7B_8CE2_AE1A5C17FE59_.wvu.FilterData" localSheetId="0" hidden="1">декабрь!$A$1:$O$389</definedName>
    <definedName name="Z_57D60FDB_5FE5_4F7B_8CE2_AE1A5C17FE59_.wvu.FilterData" localSheetId="5" hidden="1">май!$A$1:$O$340</definedName>
    <definedName name="Z_57D60FDB_5FE5_4F7B_8CE2_AE1A5C17FE59_.wvu.FilterData" localSheetId="3" hidden="1">март!$A$1:$O$358</definedName>
    <definedName name="Z_57D60FDB_5FE5_4F7B_8CE2_AE1A5C17FE59_.wvu.FilterData" localSheetId="2" hidden="1">февраль!$A$1:$O$368</definedName>
    <definedName name="Z_57D60FDB_5FE5_4F7B_8CE2_AE1A5C17FE59_.wvu.FilterData" localSheetId="1" hidden="1">январь!$A$1:$O$377</definedName>
    <definedName name="Z_5B645CE1_539A_4EEE_ADFF_DA038D52C2D2_.wvu.FilterData" localSheetId="4" hidden="1">апрель!$A$1:$O$355</definedName>
    <definedName name="Z_5B645CE1_539A_4EEE_ADFF_DA038D52C2D2_.wvu.FilterData" localSheetId="0" hidden="1">декабрь!$A$1:$O$389</definedName>
    <definedName name="Z_5B645CE1_539A_4EEE_ADFF_DA038D52C2D2_.wvu.FilterData" localSheetId="5" hidden="1">май!$A$1:$O$340</definedName>
    <definedName name="Z_5B645CE1_539A_4EEE_ADFF_DA038D52C2D2_.wvu.FilterData" localSheetId="3" hidden="1">март!$A$1:$O$358</definedName>
    <definedName name="Z_5B645CE1_539A_4EEE_ADFF_DA038D52C2D2_.wvu.FilterData" localSheetId="2" hidden="1">февраль!$A$1:$O$368</definedName>
    <definedName name="Z_5B645CE1_539A_4EEE_ADFF_DA038D52C2D2_.wvu.FilterData" localSheetId="1" hidden="1">январь!$A$1:$O$377</definedName>
    <definedName name="Z_5C636E3E_3A91_4357_A838_CB764AB8D28F_.wvu.FilterData" localSheetId="4" hidden="1">апрель!$A$1:$O$355</definedName>
    <definedName name="Z_5C636E3E_3A91_4357_A838_CB764AB8D28F_.wvu.FilterData" localSheetId="0" hidden="1">декабрь!$A$1:$O$389</definedName>
    <definedName name="Z_5C636E3E_3A91_4357_A838_CB764AB8D28F_.wvu.FilterData" localSheetId="5" hidden="1">май!$A$1:$O$340</definedName>
    <definedName name="Z_5C636E3E_3A91_4357_A838_CB764AB8D28F_.wvu.FilterData" localSheetId="3" hidden="1">март!$A$1:$O$358</definedName>
    <definedName name="Z_5C636E3E_3A91_4357_A838_CB764AB8D28F_.wvu.FilterData" localSheetId="2" hidden="1">февраль!$A$1:$O$368</definedName>
    <definedName name="Z_5C636E3E_3A91_4357_A838_CB764AB8D28F_.wvu.FilterData" localSheetId="1" hidden="1">январь!$A$1:$O$377</definedName>
    <definedName name="Z_5DB2D677_0927_4862_87DC_5824BBF3A3AF_.wvu.FilterData" localSheetId="4" hidden="1">апрель!$A$1:$O$355</definedName>
    <definedName name="Z_5DB2D677_0927_4862_87DC_5824BBF3A3AF_.wvu.FilterData" localSheetId="0" hidden="1">декабрь!$A$1:$O$389</definedName>
    <definedName name="Z_5DB2D677_0927_4862_87DC_5824BBF3A3AF_.wvu.FilterData" localSheetId="5" hidden="1">май!$A$1:$O$340</definedName>
    <definedName name="Z_5DB2D677_0927_4862_87DC_5824BBF3A3AF_.wvu.FilterData" localSheetId="3" hidden="1">март!$A$1:$O$358</definedName>
    <definedName name="Z_5DB2D677_0927_4862_87DC_5824BBF3A3AF_.wvu.FilterData" localSheetId="2" hidden="1">февраль!$A$1:$O$368</definedName>
    <definedName name="Z_5DB2D677_0927_4862_87DC_5824BBF3A3AF_.wvu.FilterData" localSheetId="1" hidden="1">январь!$A$1:$O$377</definedName>
    <definedName name="Z_5E05AB75_FB25_4052_85C6_16B62CAAD39E_.wvu.FilterData" localSheetId="4" hidden="1">апрель!$A$1:$O$355</definedName>
    <definedName name="Z_5E05AB75_FB25_4052_85C6_16B62CAAD39E_.wvu.FilterData" localSheetId="0" hidden="1">декабрь!$A$1:$O$389</definedName>
    <definedName name="Z_5E05AB75_FB25_4052_85C6_16B62CAAD39E_.wvu.FilterData" localSheetId="5" hidden="1">май!$A$1:$O$340</definedName>
    <definedName name="Z_5E05AB75_FB25_4052_85C6_16B62CAAD39E_.wvu.FilterData" localSheetId="3" hidden="1">март!$A$1:$O$358</definedName>
    <definedName name="Z_5E05AB75_FB25_4052_85C6_16B62CAAD39E_.wvu.FilterData" localSheetId="2" hidden="1">февраль!$A$1:$O$368</definedName>
    <definedName name="Z_5E05AB75_FB25_4052_85C6_16B62CAAD39E_.wvu.FilterData" localSheetId="1" hidden="1">январь!$A$1:$O$377</definedName>
    <definedName name="Z_5EBEC993_5F6B_46AE_9653_06163D0919FB_.wvu.FilterData" localSheetId="4" hidden="1">апрель!$A$1:$O$355</definedName>
    <definedName name="Z_5EBEC993_5F6B_46AE_9653_06163D0919FB_.wvu.FilterData" localSheetId="0" hidden="1">декабрь!$A$1:$O$389</definedName>
    <definedName name="Z_5EBEC993_5F6B_46AE_9653_06163D0919FB_.wvu.FilterData" localSheetId="5" hidden="1">май!$A$1:$O$340</definedName>
    <definedName name="Z_5EBEC993_5F6B_46AE_9653_06163D0919FB_.wvu.FilterData" localSheetId="3" hidden="1">март!$A$1:$O$358</definedName>
    <definedName name="Z_5EBEC993_5F6B_46AE_9653_06163D0919FB_.wvu.FilterData" localSheetId="2" hidden="1">февраль!$A$1:$O$368</definedName>
    <definedName name="Z_5EBEC993_5F6B_46AE_9653_06163D0919FB_.wvu.FilterData" localSheetId="1" hidden="1">январь!$A$1:$O$377</definedName>
    <definedName name="Z_5F7BAB0E_9AD2_41AB_B94D_A3A44C6817EF_.wvu.FilterData" localSheetId="4" hidden="1">апрель!$A$1:$O$355</definedName>
    <definedName name="Z_5F7BAB0E_9AD2_41AB_B94D_A3A44C6817EF_.wvu.FilterData" localSheetId="0" hidden="1">декабрь!$A$1:$O$389</definedName>
    <definedName name="Z_5F7BAB0E_9AD2_41AB_B94D_A3A44C6817EF_.wvu.FilterData" localSheetId="5" hidden="1">май!$A$1:$O$340</definedName>
    <definedName name="Z_5F7BAB0E_9AD2_41AB_B94D_A3A44C6817EF_.wvu.FilterData" localSheetId="3" hidden="1">март!$A$1:$O$358</definedName>
    <definedName name="Z_5F7BAB0E_9AD2_41AB_B94D_A3A44C6817EF_.wvu.FilterData" localSheetId="2" hidden="1">февраль!$A$1:$O$368</definedName>
    <definedName name="Z_5F7BAB0E_9AD2_41AB_B94D_A3A44C6817EF_.wvu.FilterData" localSheetId="1" hidden="1">январь!$A$1:$O$377</definedName>
    <definedName name="Z_67BBE172_4FE2_4964_B3B3_713BDF08447C_.wvu.PrintArea" localSheetId="4" hidden="1">апрель!$A$1:$P$360</definedName>
    <definedName name="Z_67BBE172_4FE2_4964_B3B3_713BDF08447C_.wvu.PrintArea" localSheetId="0" hidden="1">декабрь!$A$1:$P$394</definedName>
    <definedName name="Z_67BBE172_4FE2_4964_B3B3_713BDF08447C_.wvu.PrintArea" localSheetId="5" hidden="1">май!$A$1:$P$345</definedName>
    <definedName name="Z_67BBE172_4FE2_4964_B3B3_713BDF08447C_.wvu.PrintArea" localSheetId="3" hidden="1">март!$A$1:$P$363</definedName>
    <definedName name="Z_67BBE172_4FE2_4964_B3B3_713BDF08447C_.wvu.PrintArea" localSheetId="2" hidden="1">февраль!$A$1:$P$373</definedName>
    <definedName name="Z_67BBE172_4FE2_4964_B3B3_713BDF08447C_.wvu.PrintArea" localSheetId="1" hidden="1">январь!$A$1:$P$382</definedName>
    <definedName name="Z_67BBE172_4FE2_4964_B3B3_713BDF08447C_.wvu.Rows" localSheetId="4" hidden="1">апрель!$12:$21,апрель!$101:$194,апрель!#REF!,апрель!$335:$338,апрель!$350:$353</definedName>
    <definedName name="Z_67BBE172_4FE2_4964_B3B3_713BDF08447C_.wvu.Rows" localSheetId="0" hidden="1">декабрь!$12:$23,декабрь!$100:$249,декабрь!#REF!,декабрь!$369:$372,декабрь!$384:$387</definedName>
    <definedName name="Z_67BBE172_4FE2_4964_B3B3_713BDF08447C_.wvu.Rows" localSheetId="5" hidden="1">май!$12:$21,май!$99:$189,май!#REF!,май!$320:$323,май!$335:$338</definedName>
    <definedName name="Z_67BBE172_4FE2_4964_B3B3_713BDF08447C_.wvu.Rows" localSheetId="3" hidden="1">март!$12:$23,март!$95:$200,март!#REF!,март!$338:$341,март!$353:$356</definedName>
    <definedName name="Z_67BBE172_4FE2_4964_B3B3_713BDF08447C_.wvu.Rows" localSheetId="2" hidden="1">февраль!$12:$21,февраль!$93:$214,февраль!#REF!,февраль!$348:$351,февраль!$363:$366</definedName>
    <definedName name="Z_67BBE172_4FE2_4964_B3B3_713BDF08447C_.wvu.Rows" localSheetId="1" hidden="1">январь!$12:$21,январь!$94:$241,январь!#REF!,январь!$357:$360,январь!$372:$375</definedName>
    <definedName name="Z_6CC714BD_F79F_4010_AF3B_800368BF3679_.wvu.FilterData" localSheetId="4" hidden="1">апрель!$A$1:$O$355</definedName>
    <definedName name="Z_6CC714BD_F79F_4010_AF3B_800368BF3679_.wvu.FilterData" localSheetId="0" hidden="1">декабрь!$A$1:$O$389</definedName>
    <definedName name="Z_6CC714BD_F79F_4010_AF3B_800368BF3679_.wvu.FilterData" localSheetId="5" hidden="1">май!$A$1:$O$340</definedName>
    <definedName name="Z_6CC714BD_F79F_4010_AF3B_800368BF3679_.wvu.FilterData" localSheetId="3" hidden="1">март!$A$1:$O$358</definedName>
    <definedName name="Z_6CC714BD_F79F_4010_AF3B_800368BF3679_.wvu.FilterData" localSheetId="2" hidden="1">февраль!$A$1:$O$368</definedName>
    <definedName name="Z_6CC714BD_F79F_4010_AF3B_800368BF3679_.wvu.FilterData" localSheetId="1" hidden="1">январь!$A$1:$O$377</definedName>
    <definedName name="Z_6DF768C9_90EF_485B_805D_5F240EE4F3E3_.wvu.FilterData" localSheetId="4" hidden="1">апрель!$A$1:$O$355</definedName>
    <definedName name="Z_6DF768C9_90EF_485B_805D_5F240EE4F3E3_.wvu.FilterData" localSheetId="0" hidden="1">декабрь!$A$1:$O$389</definedName>
    <definedName name="Z_6DF768C9_90EF_485B_805D_5F240EE4F3E3_.wvu.FilterData" localSheetId="5" hidden="1">май!$A$1:$O$340</definedName>
    <definedName name="Z_6DF768C9_90EF_485B_805D_5F240EE4F3E3_.wvu.FilterData" localSheetId="3" hidden="1">март!$A$1:$O$358</definedName>
    <definedName name="Z_6DF768C9_90EF_485B_805D_5F240EE4F3E3_.wvu.FilterData" localSheetId="2" hidden="1">февраль!$A$1:$O$368</definedName>
    <definedName name="Z_6DF768C9_90EF_485B_805D_5F240EE4F3E3_.wvu.FilterData" localSheetId="1" hidden="1">январь!$A$1:$O$377</definedName>
    <definedName name="Z_728959C1_E05B_44D2_8550_C9C14E79A9F4_.wvu.FilterData" localSheetId="4" hidden="1">апрель!$A$1:$O$355</definedName>
    <definedName name="Z_728959C1_E05B_44D2_8550_C9C14E79A9F4_.wvu.FilterData" localSheetId="0" hidden="1">декабрь!$A$1:$O$389</definedName>
    <definedName name="Z_728959C1_E05B_44D2_8550_C9C14E79A9F4_.wvu.FilterData" localSheetId="5" hidden="1">май!$A$1:$O$340</definedName>
    <definedName name="Z_728959C1_E05B_44D2_8550_C9C14E79A9F4_.wvu.FilterData" localSheetId="3" hidden="1">март!$A$1:$O$358</definedName>
    <definedName name="Z_728959C1_E05B_44D2_8550_C9C14E79A9F4_.wvu.FilterData" localSheetId="2" hidden="1">февраль!$A$1:$O$368</definedName>
    <definedName name="Z_728959C1_E05B_44D2_8550_C9C14E79A9F4_.wvu.FilterData" localSheetId="1" hidden="1">январь!$A$1:$O$377</definedName>
    <definedName name="Z_7379148C_59F7_4C45_916F_631A557BF42D_.wvu.FilterData" localSheetId="4" hidden="1">апрель!$A$1:$O$355</definedName>
    <definedName name="Z_7379148C_59F7_4C45_916F_631A557BF42D_.wvu.FilterData" localSheetId="0" hidden="1">декабрь!$A$1:$O$389</definedName>
    <definedName name="Z_7379148C_59F7_4C45_916F_631A557BF42D_.wvu.FilterData" localSheetId="5" hidden="1">май!$A$1:$O$340</definedName>
    <definedName name="Z_7379148C_59F7_4C45_916F_631A557BF42D_.wvu.FilterData" localSheetId="3" hidden="1">март!$A$1:$O$358</definedName>
    <definedName name="Z_7379148C_59F7_4C45_916F_631A557BF42D_.wvu.FilterData" localSheetId="2" hidden="1">февраль!$A$1:$O$368</definedName>
    <definedName name="Z_7379148C_59F7_4C45_916F_631A557BF42D_.wvu.FilterData" localSheetId="1" hidden="1">январь!$A$1:$O$377</definedName>
    <definedName name="Z_76B3C8C2_D00D_47E7_B533_6437B14ACB72_.wvu.FilterData" localSheetId="4" hidden="1">апрель!$A$1:$O$355</definedName>
    <definedName name="Z_76B3C8C2_D00D_47E7_B533_6437B14ACB72_.wvu.FilterData" localSheetId="0" hidden="1">декабрь!$A$1:$O$389</definedName>
    <definedName name="Z_76B3C8C2_D00D_47E7_B533_6437B14ACB72_.wvu.FilterData" localSheetId="5" hidden="1">май!$A$1:$O$340</definedName>
    <definedName name="Z_76B3C8C2_D00D_47E7_B533_6437B14ACB72_.wvu.FilterData" localSheetId="3" hidden="1">март!$A$1:$O$358</definedName>
    <definedName name="Z_76B3C8C2_D00D_47E7_B533_6437B14ACB72_.wvu.FilterData" localSheetId="2" hidden="1">февраль!$A$1:$O$368</definedName>
    <definedName name="Z_76B3C8C2_D00D_47E7_B533_6437B14ACB72_.wvu.FilterData" localSheetId="1" hidden="1">январь!$A$1:$O$377</definedName>
    <definedName name="Z_7F65B11F_C2F1_49E8_B71E_50B89E1722E2_.wvu.FilterData" localSheetId="4" hidden="1">апрель!$A$1:$O$355</definedName>
    <definedName name="Z_7F65B11F_C2F1_49E8_B71E_50B89E1722E2_.wvu.FilterData" localSheetId="0" hidden="1">декабрь!$A$1:$O$389</definedName>
    <definedName name="Z_7F65B11F_C2F1_49E8_B71E_50B89E1722E2_.wvu.FilterData" localSheetId="5" hidden="1">май!$A$1:$O$340</definedName>
    <definedName name="Z_7F65B11F_C2F1_49E8_B71E_50B89E1722E2_.wvu.FilterData" localSheetId="3" hidden="1">март!$A$1:$O$358</definedName>
    <definedName name="Z_7F65B11F_C2F1_49E8_B71E_50B89E1722E2_.wvu.FilterData" localSheetId="2" hidden="1">февраль!$A$1:$O$368</definedName>
    <definedName name="Z_7F65B11F_C2F1_49E8_B71E_50B89E1722E2_.wvu.FilterData" localSheetId="1" hidden="1">январь!$A$1:$O$377</definedName>
    <definedName name="Z_82C84365_F138_4EE2_A143_B978932B40D4_.wvu.FilterData" localSheetId="4" hidden="1">апрель!$A$1:$O$355</definedName>
    <definedName name="Z_82C84365_F138_4EE2_A143_B978932B40D4_.wvu.FilterData" localSheetId="0" hidden="1">декабрь!$A$1:$O$389</definedName>
    <definedName name="Z_82C84365_F138_4EE2_A143_B978932B40D4_.wvu.FilterData" localSheetId="5" hidden="1">май!$A$1:$O$340</definedName>
    <definedName name="Z_82C84365_F138_4EE2_A143_B978932B40D4_.wvu.FilterData" localSheetId="3" hidden="1">март!$A$1:$O$358</definedName>
    <definedName name="Z_82C84365_F138_4EE2_A143_B978932B40D4_.wvu.FilterData" localSheetId="2" hidden="1">февраль!$A$1:$O$368</definedName>
    <definedName name="Z_82C84365_F138_4EE2_A143_B978932B40D4_.wvu.FilterData" localSheetId="1" hidden="1">январь!$A$1:$O$377</definedName>
    <definedName name="Z_85AE8A8B_D746_4F5F_A9FE_7C69CCAD00C1_.wvu.FilterData" localSheetId="4" hidden="1">апрель!$A$1:$O$355</definedName>
    <definedName name="Z_85AE8A8B_D746_4F5F_A9FE_7C69CCAD00C1_.wvu.FilterData" localSheetId="0" hidden="1">декабрь!$A$1:$O$389</definedName>
    <definedName name="Z_85AE8A8B_D746_4F5F_A9FE_7C69CCAD00C1_.wvu.FilterData" localSheetId="5" hidden="1">май!$A$1:$O$340</definedName>
    <definedName name="Z_85AE8A8B_D746_4F5F_A9FE_7C69CCAD00C1_.wvu.FilterData" localSheetId="3" hidden="1">март!$A$1:$O$358</definedName>
    <definedName name="Z_85AE8A8B_D746_4F5F_A9FE_7C69CCAD00C1_.wvu.FilterData" localSheetId="2" hidden="1">февраль!$A$1:$O$368</definedName>
    <definedName name="Z_85AE8A8B_D746_4F5F_A9FE_7C69CCAD00C1_.wvu.FilterData" localSheetId="1" hidden="1">январь!$A$1:$O$377</definedName>
    <definedName name="Z_8BF9308E_3267_4A32_AA97_6B27A4B5A384_.wvu.FilterData" localSheetId="4" hidden="1">апрель!$A$1:$O$355</definedName>
    <definedName name="Z_8BF9308E_3267_4A32_AA97_6B27A4B5A384_.wvu.FilterData" localSheetId="0" hidden="1">декабрь!$A$1:$O$389</definedName>
    <definedName name="Z_8BF9308E_3267_4A32_AA97_6B27A4B5A384_.wvu.FilterData" localSheetId="5" hidden="1">май!$A$1:$O$340</definedName>
    <definedName name="Z_8BF9308E_3267_4A32_AA97_6B27A4B5A384_.wvu.FilterData" localSheetId="3" hidden="1">март!$A$1:$O$358</definedName>
    <definedName name="Z_8BF9308E_3267_4A32_AA97_6B27A4B5A384_.wvu.FilterData" localSheetId="2" hidden="1">февраль!$A$1:$O$368</definedName>
    <definedName name="Z_8BF9308E_3267_4A32_AA97_6B27A4B5A384_.wvu.FilterData" localSheetId="1" hidden="1">январь!$A$1:$O$377</definedName>
    <definedName name="Z_987D62DF_24BA_4814_8290_196CF1C3B643_.wvu.FilterData" localSheetId="4" hidden="1">апрель!$A$1:$O$355</definedName>
    <definedName name="Z_987D62DF_24BA_4814_8290_196CF1C3B643_.wvu.FilterData" localSheetId="0" hidden="1">декабрь!$A$1:$O$389</definedName>
    <definedName name="Z_987D62DF_24BA_4814_8290_196CF1C3B643_.wvu.FilterData" localSheetId="5" hidden="1">май!$A$1:$O$340</definedName>
    <definedName name="Z_987D62DF_24BA_4814_8290_196CF1C3B643_.wvu.FilterData" localSheetId="3" hidden="1">март!$A$1:$O$358</definedName>
    <definedName name="Z_987D62DF_24BA_4814_8290_196CF1C3B643_.wvu.FilterData" localSheetId="2" hidden="1">февраль!$A$1:$O$368</definedName>
    <definedName name="Z_987D62DF_24BA_4814_8290_196CF1C3B643_.wvu.FilterData" localSheetId="1" hidden="1">январь!$A$1:$O$377</definedName>
    <definedName name="Z_AA0455DC_720F_407C_90BF_60AD4EE4E944_.wvu.FilterData" localSheetId="4" hidden="1">апрель!$A$1:$O$355</definedName>
    <definedName name="Z_AA0455DC_720F_407C_90BF_60AD4EE4E944_.wvu.FilterData" localSheetId="0" hidden="1">декабрь!$A$1:$O$389</definedName>
    <definedName name="Z_AA0455DC_720F_407C_90BF_60AD4EE4E944_.wvu.FilterData" localSheetId="5" hidden="1">май!$A$1:$O$340</definedName>
    <definedName name="Z_AA0455DC_720F_407C_90BF_60AD4EE4E944_.wvu.FilterData" localSheetId="3" hidden="1">март!$A$1:$O$358</definedName>
    <definedName name="Z_AA0455DC_720F_407C_90BF_60AD4EE4E944_.wvu.FilterData" localSheetId="2" hidden="1">февраль!$A$1:$O$368</definedName>
    <definedName name="Z_AA0455DC_720F_407C_90BF_60AD4EE4E944_.wvu.FilterData" localSheetId="1" hidden="1">январь!$A$1:$O$377</definedName>
    <definedName name="Z_B4514648_5190_4946_A30E_6BF1FE2E3AA8_.wvu.FilterData" localSheetId="4" hidden="1">апрель!$A$1:$O$355</definedName>
    <definedName name="Z_B4514648_5190_4946_A30E_6BF1FE2E3AA8_.wvu.FilterData" localSheetId="0" hidden="1">декабрь!$A$1:$O$389</definedName>
    <definedName name="Z_B4514648_5190_4946_A30E_6BF1FE2E3AA8_.wvu.FilterData" localSheetId="5" hidden="1">май!$A$1:$O$340</definedName>
    <definedName name="Z_B4514648_5190_4946_A30E_6BF1FE2E3AA8_.wvu.FilterData" localSheetId="3" hidden="1">март!$A$1:$O$358</definedName>
    <definedName name="Z_B4514648_5190_4946_A30E_6BF1FE2E3AA8_.wvu.FilterData" localSheetId="2" hidden="1">февраль!$A$1:$O$368</definedName>
    <definedName name="Z_B4514648_5190_4946_A30E_6BF1FE2E3AA8_.wvu.FilterData" localSheetId="1" hidden="1">январь!$A$1:$O$377</definedName>
    <definedName name="Z_B79ED37B_D080_48FB_96C9_D85AAF943074_.wvu.FilterData" localSheetId="4" hidden="1">апрель!$A$1:$O$355</definedName>
    <definedName name="Z_B79ED37B_D080_48FB_96C9_D85AAF943074_.wvu.FilterData" localSheetId="0" hidden="1">декабрь!$A$1:$O$389</definedName>
    <definedName name="Z_B79ED37B_D080_48FB_96C9_D85AAF943074_.wvu.FilterData" localSheetId="5" hidden="1">май!$A$1:$O$340</definedName>
    <definedName name="Z_B79ED37B_D080_48FB_96C9_D85AAF943074_.wvu.FilterData" localSheetId="3" hidden="1">март!$A$1:$O$358</definedName>
    <definedName name="Z_B79ED37B_D080_48FB_96C9_D85AAF943074_.wvu.FilterData" localSheetId="2" hidden="1">февраль!$A$1:$O$368</definedName>
    <definedName name="Z_B79ED37B_D080_48FB_96C9_D85AAF943074_.wvu.FilterData" localSheetId="1" hidden="1">январь!$A$1:$O$377</definedName>
    <definedName name="Z_B84DA99E_14AA_4432_8325_67913ACF4ADE_.wvu.FilterData" localSheetId="4" hidden="1">апрель!$A$1:$O$355</definedName>
    <definedName name="Z_B84DA99E_14AA_4432_8325_67913ACF4ADE_.wvu.FilterData" localSheetId="0" hidden="1">декабрь!$A$1:$O$389</definedName>
    <definedName name="Z_B84DA99E_14AA_4432_8325_67913ACF4ADE_.wvu.FilterData" localSheetId="5" hidden="1">май!$A$1:$O$340</definedName>
    <definedName name="Z_B84DA99E_14AA_4432_8325_67913ACF4ADE_.wvu.FilterData" localSheetId="3" hidden="1">март!$A$1:$O$358</definedName>
    <definedName name="Z_B84DA99E_14AA_4432_8325_67913ACF4ADE_.wvu.FilterData" localSheetId="2" hidden="1">февраль!$A$1:$O$368</definedName>
    <definedName name="Z_B84DA99E_14AA_4432_8325_67913ACF4ADE_.wvu.FilterData" localSheetId="1" hidden="1">январь!$A$1:$O$377</definedName>
    <definedName name="Z_BAAF143B_0332_4504_B279_ABED09BA146C_.wvu.FilterData" localSheetId="4" hidden="1">апрель!$A$1:$O$355</definedName>
    <definedName name="Z_BAAF143B_0332_4504_B279_ABED09BA146C_.wvu.FilterData" localSheetId="0" hidden="1">декабрь!$A$1:$O$389</definedName>
    <definedName name="Z_BAAF143B_0332_4504_B279_ABED09BA146C_.wvu.FilterData" localSheetId="5" hidden="1">май!$A$1:$O$340</definedName>
    <definedName name="Z_BAAF143B_0332_4504_B279_ABED09BA146C_.wvu.FilterData" localSheetId="3" hidden="1">март!$A$1:$O$358</definedName>
    <definedName name="Z_BAAF143B_0332_4504_B279_ABED09BA146C_.wvu.FilterData" localSheetId="2" hidden="1">февраль!$A$1:$O$368</definedName>
    <definedName name="Z_BAAF143B_0332_4504_B279_ABED09BA146C_.wvu.FilterData" localSheetId="1" hidden="1">январь!$A$1:$O$377</definedName>
    <definedName name="Z_C877E0F2_3205_4288_9E36_5901376436CD_.wvu.FilterData" localSheetId="4" hidden="1">апрель!$A$1:$O$355</definedName>
    <definedName name="Z_C877E0F2_3205_4288_9E36_5901376436CD_.wvu.FilterData" localSheetId="0" hidden="1">декабрь!$A$1:$O$389</definedName>
    <definedName name="Z_C877E0F2_3205_4288_9E36_5901376436CD_.wvu.FilterData" localSheetId="5" hidden="1">май!$A$1:$O$340</definedName>
    <definedName name="Z_C877E0F2_3205_4288_9E36_5901376436CD_.wvu.FilterData" localSheetId="3" hidden="1">март!$A$1:$O$358</definedName>
    <definedName name="Z_C877E0F2_3205_4288_9E36_5901376436CD_.wvu.FilterData" localSheetId="2" hidden="1">февраль!$A$1:$O$368</definedName>
    <definedName name="Z_C877E0F2_3205_4288_9E36_5901376436CD_.wvu.FilterData" localSheetId="1" hidden="1">январь!$A$1:$O$377</definedName>
    <definedName name="Z_E7372664_DD2A_4E29_B7AF_ADC2E47E075A_.wvu.FilterData" localSheetId="4" hidden="1">апрель!$A$1:$O$355</definedName>
    <definedName name="Z_E7372664_DD2A_4E29_B7AF_ADC2E47E075A_.wvu.FilterData" localSheetId="0" hidden="1">декабрь!$A$1:$O$389</definedName>
    <definedName name="Z_E7372664_DD2A_4E29_B7AF_ADC2E47E075A_.wvu.FilterData" localSheetId="5" hidden="1">май!$A$1:$O$340</definedName>
    <definedName name="Z_E7372664_DD2A_4E29_B7AF_ADC2E47E075A_.wvu.FilterData" localSheetId="3" hidden="1">март!$A$1:$O$358</definedName>
    <definedName name="Z_E7372664_DD2A_4E29_B7AF_ADC2E47E075A_.wvu.FilterData" localSheetId="2" hidden="1">февраль!$A$1:$O$368</definedName>
    <definedName name="Z_E7372664_DD2A_4E29_B7AF_ADC2E47E075A_.wvu.FilterData" localSheetId="1" hidden="1">январь!$A$1:$O$377</definedName>
    <definedName name="Z_E763E5ED_EA3A_4012_802B_EE5978C2BBCA_.wvu.FilterData" localSheetId="4" hidden="1">апрель!$A$1:$O$355</definedName>
    <definedName name="Z_E763E5ED_EA3A_4012_802B_EE5978C2BBCA_.wvu.FilterData" localSheetId="0" hidden="1">декабрь!$A$1:$O$389</definedName>
    <definedName name="Z_E763E5ED_EA3A_4012_802B_EE5978C2BBCA_.wvu.FilterData" localSheetId="5" hidden="1">май!$A$1:$O$340</definedName>
    <definedName name="Z_E763E5ED_EA3A_4012_802B_EE5978C2BBCA_.wvu.FilterData" localSheetId="3" hidden="1">март!$A$1:$O$358</definedName>
    <definedName name="Z_E763E5ED_EA3A_4012_802B_EE5978C2BBCA_.wvu.FilterData" localSheetId="2" hidden="1">февраль!$A$1:$O$368</definedName>
    <definedName name="Z_E763E5ED_EA3A_4012_802B_EE5978C2BBCA_.wvu.FilterData" localSheetId="1" hidden="1">январь!$A$1:$O$377</definedName>
    <definedName name="Z_E7D8E5E9_A359_482C_883B_2CA9E81AEFDC_.wvu.FilterData" localSheetId="4" hidden="1">апрель!$A$1:$O$355</definedName>
    <definedName name="Z_E7D8E5E9_A359_482C_883B_2CA9E81AEFDC_.wvu.FilterData" localSheetId="0" hidden="1">декабрь!$A$1:$O$389</definedName>
    <definedName name="Z_E7D8E5E9_A359_482C_883B_2CA9E81AEFDC_.wvu.FilterData" localSheetId="5" hidden="1">май!$A$1:$O$340</definedName>
    <definedName name="Z_E7D8E5E9_A359_482C_883B_2CA9E81AEFDC_.wvu.FilterData" localSheetId="3" hidden="1">март!$A$1:$O$358</definedName>
    <definedName name="Z_E7D8E5E9_A359_482C_883B_2CA9E81AEFDC_.wvu.FilterData" localSheetId="2" hidden="1">февраль!$A$1:$O$368</definedName>
    <definedName name="Z_E7D8E5E9_A359_482C_883B_2CA9E81AEFDC_.wvu.FilterData" localSheetId="1" hidden="1">январь!$A$1:$O$377</definedName>
    <definedName name="Z_F0145807_7003_418B_9C3A_1E97988902F1_.wvu.FilterData" localSheetId="4" hidden="1">апрель!$A$1:$O$355</definedName>
    <definedName name="Z_F0145807_7003_418B_9C3A_1E97988902F1_.wvu.FilterData" localSheetId="0" hidden="1">декабрь!$A$1:$O$389</definedName>
    <definedName name="Z_F0145807_7003_418B_9C3A_1E97988902F1_.wvu.FilterData" localSheetId="5" hidden="1">май!$A$1:$O$340</definedName>
    <definedName name="Z_F0145807_7003_418B_9C3A_1E97988902F1_.wvu.FilterData" localSheetId="3" hidden="1">март!$A$1:$O$358</definedName>
    <definedName name="Z_F0145807_7003_418B_9C3A_1E97988902F1_.wvu.FilterData" localSheetId="2" hidden="1">февраль!$A$1:$O$368</definedName>
    <definedName name="Z_F0145807_7003_418B_9C3A_1E97988902F1_.wvu.FilterData" localSheetId="1" hidden="1">январь!$A$1:$O$377</definedName>
    <definedName name="Z_F1B9CEAF_9120_4308_9903_4821E342BA4C_.wvu.FilterData" localSheetId="4" hidden="1">апрель!$A$1:$O$355</definedName>
    <definedName name="Z_F1B9CEAF_9120_4308_9903_4821E342BA4C_.wvu.FilterData" localSheetId="0" hidden="1">декабрь!$A$1:$O$389</definedName>
    <definedName name="Z_F1B9CEAF_9120_4308_9903_4821E342BA4C_.wvu.FilterData" localSheetId="5" hidden="1">май!$A$1:$O$340</definedName>
    <definedName name="Z_F1B9CEAF_9120_4308_9903_4821E342BA4C_.wvu.FilterData" localSheetId="3" hidden="1">март!$A$1:$O$358</definedName>
    <definedName name="Z_F1B9CEAF_9120_4308_9903_4821E342BA4C_.wvu.FilterData" localSheetId="2" hidden="1">февраль!$A$1:$O$368</definedName>
    <definedName name="Z_F1B9CEAF_9120_4308_9903_4821E342BA4C_.wvu.FilterData" localSheetId="1" hidden="1">январь!$A$1:$O$377</definedName>
    <definedName name="Z_F6DD03C8_9406_4D0A_A2C5_EE303996642B_.wvu.FilterData" localSheetId="4" hidden="1">апрель!$A$1:$O$355</definedName>
    <definedName name="Z_F6DD03C8_9406_4D0A_A2C5_EE303996642B_.wvu.FilterData" localSheetId="0" hidden="1">декабрь!$A$1:$O$389</definedName>
    <definedName name="Z_F6DD03C8_9406_4D0A_A2C5_EE303996642B_.wvu.FilterData" localSheetId="5" hidden="1">май!$A$1:$O$340</definedName>
    <definedName name="Z_F6DD03C8_9406_4D0A_A2C5_EE303996642B_.wvu.FilterData" localSheetId="3" hidden="1">март!$A$1:$O$358</definedName>
    <definedName name="Z_F6DD03C8_9406_4D0A_A2C5_EE303996642B_.wvu.FilterData" localSheetId="2" hidden="1">февраль!$A$1:$O$368</definedName>
    <definedName name="Z_F6DD03C8_9406_4D0A_A2C5_EE303996642B_.wvu.FilterData" localSheetId="1" hidden="1">январь!$A$1:$O$377</definedName>
    <definedName name="Z_FDBCD8F6_B498_4CB7_B6E2_A7342220B637_.wvu.FilterData" localSheetId="4" hidden="1">апрель!$A$1:$O$355</definedName>
    <definedName name="Z_FDBCD8F6_B498_4CB7_B6E2_A7342220B637_.wvu.FilterData" localSheetId="0" hidden="1">декабрь!$A$1:$O$389</definedName>
    <definedName name="Z_FDBCD8F6_B498_4CB7_B6E2_A7342220B637_.wvu.FilterData" localSheetId="5" hidden="1">май!$A$1:$O$340</definedName>
    <definedName name="Z_FDBCD8F6_B498_4CB7_B6E2_A7342220B637_.wvu.FilterData" localSheetId="3" hidden="1">март!$A$1:$O$358</definedName>
    <definedName name="Z_FDBCD8F6_B498_4CB7_B6E2_A7342220B637_.wvu.FilterData" localSheetId="2" hidden="1">февраль!$A$1:$O$368</definedName>
    <definedName name="Z_FDBCD8F6_B498_4CB7_B6E2_A7342220B637_.wvu.FilterData" localSheetId="1" hidden="1">январь!$A$1:$O$377</definedName>
    <definedName name="_xlnm.Print_Area" localSheetId="4">апрель!$A$1:$P$353</definedName>
    <definedName name="_xlnm.Print_Area" localSheetId="0">декабрь!$A$1:$P$387</definedName>
    <definedName name="_xlnm.Print_Area" localSheetId="5">май!$A$1:$P$338</definedName>
    <definedName name="_xlnm.Print_Area" localSheetId="3">март!$A$1:$P$356</definedName>
    <definedName name="_xlnm.Print_Area" localSheetId="2">февраль!$A$1:$P$366</definedName>
    <definedName name="_xlnm.Print_Area" localSheetId="1">январь!$A$1:$P$375</definedName>
  </definedNames>
  <calcPr calcId="162913"/>
  <customWorkbookViews>
    <customWorkbookView name="Shiryaeva - Личное представление" guid="{5B645CE1-539A-4EEE-ADFF-DA038D52C2D2}" mergeInterval="0" personalView="1" maximized="1" windowWidth="1596" windowHeight="685" activeSheetId="1"/>
    <customWorkbookView name="Kotlyar - Личное представление" guid="{554A046B-A5C5-4B5D-B1C1-E6369D71709A}" mergeInterval="0" personalView="1" maximized="1" windowWidth="1916" windowHeight="800" activeSheetId="1"/>
    <customWorkbookView name="Masechko - Личное представление" guid="{F1B9CEAF-9120-4308-9903-4821E342BA4C}" mergeInterval="0" personalView="1" maximized="1" windowWidth="1020" windowHeight="595" activeSheetId="2"/>
    <customWorkbookView name="Сидорова Надежда Анатольевна - Личное представление" guid="{BAAF143B-0332-4504-B279-ABED09BA146C}" mergeInterval="0" personalView="1" maximized="1" windowWidth="1276" windowHeight="731" activeSheetId="1"/>
    <customWorkbookView name="Urdya - Личное представление" guid="{4ECD53DF-6475-4457-95BF-90BA05000A58}" mergeInterval="0" personalView="1" maximized="1" windowWidth="1020" windowHeight="570" activeSheetId="2" showComments="commIndAndComment"/>
    <customWorkbookView name="Ширяева - Личное представление" guid="{67BBE172-4FE2-4964-B3B3-713BDF08447C}" mergeInterval="0" personalView="1" maximized="1" xWindow="-8" yWindow="-8" windowWidth="1382" windowHeight="754" activeSheetId="1"/>
    <customWorkbookView name="1 - Личное представление" guid="{4138FC1A-4F87-4896-9C9C-268DE4202EBA}" mergeInterval="0" personalView="1" maximized="1" xWindow="-8" yWindow="-8" windowWidth="1616" windowHeight="876" activeSheetId="1"/>
  </customWorkbookViews>
  <fileRecoveryPr autoRecover="0"/>
</workbook>
</file>

<file path=xl/calcChain.xml><?xml version="1.0" encoding="utf-8"?>
<calcChain xmlns="http://schemas.openxmlformats.org/spreadsheetml/2006/main">
  <c r="M169" i="75" l="1"/>
  <c r="P169" i="75"/>
  <c r="M53" i="75"/>
  <c r="P53" i="75" s="1"/>
  <c r="M54" i="75"/>
  <c r="P54" i="75"/>
  <c r="M55" i="75"/>
  <c r="P55" i="75" s="1"/>
  <c r="M24" i="75"/>
  <c r="P24" i="75"/>
  <c r="M25" i="75"/>
  <c r="P25" i="75"/>
  <c r="M26" i="75"/>
  <c r="P26" i="75"/>
  <c r="M27" i="75"/>
  <c r="P27" i="75"/>
  <c r="M98" i="75"/>
  <c r="P98" i="75" s="1"/>
  <c r="M97" i="75"/>
  <c r="P97" i="75" s="1"/>
  <c r="N337" i="75" l="1"/>
  <c r="P337" i="75" s="1"/>
  <c r="M337" i="75"/>
  <c r="P333" i="75"/>
  <c r="M333" i="75"/>
  <c r="P332" i="75"/>
  <c r="M332" i="75"/>
  <c r="P331" i="75"/>
  <c r="M331" i="75"/>
  <c r="P330" i="75"/>
  <c r="M330" i="75"/>
  <c r="P329" i="75"/>
  <c r="M329" i="75"/>
  <c r="P327" i="75"/>
  <c r="M327" i="75"/>
  <c r="P325" i="75"/>
  <c r="M325" i="75"/>
  <c r="N323" i="75"/>
  <c r="P323" i="75" s="1"/>
  <c r="N322" i="75"/>
  <c r="P322" i="75" s="1"/>
  <c r="N321" i="75"/>
  <c r="P321" i="75" s="1"/>
  <c r="N320" i="75"/>
  <c r="P320" i="75" s="1"/>
  <c r="M320" i="75"/>
  <c r="N319" i="75"/>
  <c r="P319" i="75" s="1"/>
  <c r="M319" i="75"/>
  <c r="N318" i="75"/>
  <c r="P318" i="75" s="1"/>
  <c r="M318" i="75"/>
  <c r="N317" i="75"/>
  <c r="P317" i="75" s="1"/>
  <c r="M317" i="75"/>
  <c r="N316" i="75"/>
  <c r="P316" i="75" s="1"/>
  <c r="M316" i="75"/>
  <c r="N315" i="75"/>
  <c r="P315" i="75" s="1"/>
  <c r="M315" i="75"/>
  <c r="N314" i="75"/>
  <c r="P314" i="75" s="1"/>
  <c r="M314" i="75"/>
  <c r="N313" i="75"/>
  <c r="P313" i="75" s="1"/>
  <c r="M313" i="75"/>
  <c r="N312" i="75"/>
  <c r="P312" i="75" s="1"/>
  <c r="M312" i="75"/>
  <c r="N311" i="75"/>
  <c r="P311" i="75" s="1"/>
  <c r="M311" i="75"/>
  <c r="N310" i="75"/>
  <c r="P310" i="75" s="1"/>
  <c r="M310" i="75"/>
  <c r="N309" i="75"/>
  <c r="P309" i="75" s="1"/>
  <c r="M309" i="75"/>
  <c r="N308" i="75"/>
  <c r="P308" i="75" s="1"/>
  <c r="M308" i="75"/>
  <c r="N307" i="75"/>
  <c r="P307" i="75" s="1"/>
  <c r="M307" i="75"/>
  <c r="N306" i="75"/>
  <c r="P306" i="75" s="1"/>
  <c r="M306" i="75"/>
  <c r="N305" i="75"/>
  <c r="P305" i="75" s="1"/>
  <c r="M305" i="75"/>
  <c r="N304" i="75"/>
  <c r="P304" i="75" s="1"/>
  <c r="M304" i="75"/>
  <c r="N303" i="75"/>
  <c r="P303" i="75" s="1"/>
  <c r="M303" i="75"/>
  <c r="N302" i="75"/>
  <c r="P302" i="75" s="1"/>
  <c r="M302" i="75"/>
  <c r="N301" i="75"/>
  <c r="P301" i="75" s="1"/>
  <c r="M301" i="75"/>
  <c r="N300" i="75"/>
  <c r="P300" i="75" s="1"/>
  <c r="M300" i="75"/>
  <c r="N298" i="75"/>
  <c r="P298" i="75" s="1"/>
  <c r="M298" i="75"/>
  <c r="P297" i="75"/>
  <c r="M297" i="75"/>
  <c r="N295" i="75"/>
  <c r="P295" i="75" s="1"/>
  <c r="M295" i="75"/>
  <c r="P294" i="75"/>
  <c r="M294" i="75"/>
  <c r="N292" i="75"/>
  <c r="P292" i="75" s="1"/>
  <c r="M292" i="75"/>
  <c r="N290" i="75"/>
  <c r="P290" i="75" s="1"/>
  <c r="M290" i="75"/>
  <c r="P289" i="75"/>
  <c r="M289" i="75"/>
  <c r="N287" i="75"/>
  <c r="P287" i="75" s="1"/>
  <c r="M287" i="75"/>
  <c r="M283" i="75"/>
  <c r="P282" i="75"/>
  <c r="M282" i="75"/>
  <c r="N280" i="75"/>
  <c r="P280" i="75" s="1"/>
  <c r="M280" i="75"/>
  <c r="N278" i="75"/>
  <c r="P278" i="75" s="1"/>
  <c r="P276" i="75"/>
  <c r="N274" i="75"/>
  <c r="P274" i="75" s="1"/>
  <c r="M274" i="75"/>
  <c r="N272" i="75"/>
  <c r="P272" i="75" s="1"/>
  <c r="M272" i="75"/>
  <c r="N270" i="75"/>
  <c r="P270" i="75" s="1"/>
  <c r="M270" i="75"/>
  <c r="N269" i="75"/>
  <c r="P269" i="75" s="1"/>
  <c r="M269" i="75"/>
  <c r="Q264" i="75"/>
  <c r="F264" i="75"/>
  <c r="P263" i="75"/>
  <c r="M263" i="75"/>
  <c r="P262" i="75"/>
  <c r="M262" i="75"/>
  <c r="P261" i="75"/>
  <c r="M261" i="75"/>
  <c r="P260" i="75"/>
  <c r="M260" i="75"/>
  <c r="P259" i="75"/>
  <c r="M259" i="75"/>
  <c r="P258" i="75"/>
  <c r="M258" i="75"/>
  <c r="P257" i="75"/>
  <c r="M257" i="75"/>
  <c r="P256" i="75"/>
  <c r="M256" i="75"/>
  <c r="P255" i="75"/>
  <c r="M255" i="75"/>
  <c r="P254" i="75"/>
  <c r="M254" i="75"/>
  <c r="P253" i="75"/>
  <c r="M253" i="75"/>
  <c r="P252" i="75"/>
  <c r="M252" i="75"/>
  <c r="P251" i="75"/>
  <c r="M251" i="75"/>
  <c r="P250" i="75"/>
  <c r="M250" i="75"/>
  <c r="P249" i="75"/>
  <c r="M249" i="75"/>
  <c r="Q248" i="75"/>
  <c r="Q247" i="75"/>
  <c r="M246" i="75"/>
  <c r="M245" i="75"/>
  <c r="P245" i="75" s="1"/>
  <c r="M244" i="75"/>
  <c r="P244" i="75" s="1"/>
  <c r="M243" i="75"/>
  <c r="M242" i="75"/>
  <c r="P242" i="75" s="1"/>
  <c r="M241" i="75"/>
  <c r="M240" i="75"/>
  <c r="P240" i="75" s="1"/>
  <c r="Q240" i="75" s="1"/>
  <c r="M239" i="75"/>
  <c r="M238" i="75"/>
  <c r="P238" i="75" s="1"/>
  <c r="M237" i="75"/>
  <c r="M236" i="75"/>
  <c r="P236" i="75" s="1"/>
  <c r="Q236" i="75" s="1"/>
  <c r="M235" i="75"/>
  <c r="M234" i="75"/>
  <c r="M233" i="75"/>
  <c r="M232" i="75"/>
  <c r="P232" i="75" s="1"/>
  <c r="Q232" i="75" s="1"/>
  <c r="M231" i="75"/>
  <c r="P231" i="75" s="1"/>
  <c r="Q231" i="75" s="1"/>
  <c r="M230" i="75"/>
  <c r="P230" i="75" s="1"/>
  <c r="M229" i="75"/>
  <c r="K228" i="75"/>
  <c r="M228" i="75" s="1"/>
  <c r="M227" i="75"/>
  <c r="P227" i="75" s="1"/>
  <c r="Q227" i="75" s="1"/>
  <c r="Q226" i="75"/>
  <c r="Q225" i="75"/>
  <c r="M224" i="75"/>
  <c r="P224" i="75" s="1"/>
  <c r="M223" i="75"/>
  <c r="P223" i="75" s="1"/>
  <c r="Q222" i="75"/>
  <c r="Q221" i="75"/>
  <c r="Q220" i="75"/>
  <c r="Q219" i="75"/>
  <c r="Q218" i="75"/>
  <c r="Q217" i="75"/>
  <c r="M216" i="75"/>
  <c r="P216" i="75" s="1"/>
  <c r="M215" i="75"/>
  <c r="M214" i="75"/>
  <c r="Q213" i="75"/>
  <c r="M212" i="75"/>
  <c r="Q211" i="75"/>
  <c r="M210" i="75"/>
  <c r="P210" i="75" s="1"/>
  <c r="M209" i="75"/>
  <c r="P209" i="75" s="1"/>
  <c r="P208" i="75"/>
  <c r="Q207" i="75"/>
  <c r="M206" i="75"/>
  <c r="M205" i="75"/>
  <c r="M204" i="75"/>
  <c r="P203" i="75"/>
  <c r="Q203" i="75" s="1"/>
  <c r="Q202" i="75"/>
  <c r="P201" i="75"/>
  <c r="P200" i="75"/>
  <c r="M200" i="75"/>
  <c r="P199" i="75"/>
  <c r="M199" i="75"/>
  <c r="Q198" i="75"/>
  <c r="P197" i="75"/>
  <c r="Q197" i="75" s="1"/>
  <c r="P196" i="75"/>
  <c r="M196" i="75"/>
  <c r="P195" i="75"/>
  <c r="M195" i="75"/>
  <c r="Q194" i="75"/>
  <c r="F194" i="75"/>
  <c r="M193" i="75"/>
  <c r="P193" i="75" s="1"/>
  <c r="M192" i="75"/>
  <c r="P192" i="75" s="1"/>
  <c r="Q191" i="75"/>
  <c r="F191" i="75"/>
  <c r="P190" i="75"/>
  <c r="Q190" i="75" s="1"/>
  <c r="Q189" i="75"/>
  <c r="P188" i="75"/>
  <c r="Q188" i="75" s="1"/>
  <c r="Q187" i="75"/>
  <c r="F187" i="75"/>
  <c r="P186" i="75"/>
  <c r="Q186" i="75" s="1"/>
  <c r="Q185" i="75"/>
  <c r="M184" i="75"/>
  <c r="M183" i="75"/>
  <c r="Q182" i="75"/>
  <c r="M181" i="75"/>
  <c r="P181" i="75" s="1"/>
  <c r="M180" i="75"/>
  <c r="Q179" i="75"/>
  <c r="M178" i="75"/>
  <c r="P178" i="75" s="1"/>
  <c r="M177" i="75"/>
  <c r="Q176" i="75"/>
  <c r="F176" i="75"/>
  <c r="Q175" i="75"/>
  <c r="Q174" i="75"/>
  <c r="M173" i="75"/>
  <c r="P173" i="75" s="1"/>
  <c r="M172" i="75"/>
  <c r="P172" i="75" s="1"/>
  <c r="M171" i="75"/>
  <c r="P171" i="75" s="1"/>
  <c r="Q170" i="75"/>
  <c r="M168" i="75"/>
  <c r="P168" i="75" s="1"/>
  <c r="M167" i="75"/>
  <c r="P167" i="75" s="1"/>
  <c r="M166" i="75"/>
  <c r="P166" i="75" s="1"/>
  <c r="M165" i="75"/>
  <c r="P165" i="75" s="1"/>
  <c r="M164" i="75"/>
  <c r="M163" i="75"/>
  <c r="P163" i="75" s="1"/>
  <c r="Q163" i="75" s="1"/>
  <c r="M162" i="75"/>
  <c r="P162" i="75" s="1"/>
  <c r="Q162" i="75" s="1"/>
  <c r="M161" i="75"/>
  <c r="P161" i="75" s="1"/>
  <c r="M159" i="75"/>
  <c r="M158" i="75"/>
  <c r="P158" i="75" s="1"/>
  <c r="Q158" i="75" s="1"/>
  <c r="M157" i="75"/>
  <c r="P157" i="75" s="1"/>
  <c r="M156" i="75"/>
  <c r="M155" i="75"/>
  <c r="P155" i="75" s="1"/>
  <c r="M154" i="75"/>
  <c r="M153" i="75"/>
  <c r="M152" i="75"/>
  <c r="M151" i="75"/>
  <c r="P151" i="75" s="1"/>
  <c r="M150" i="75"/>
  <c r="P150" i="75" s="1"/>
  <c r="M149" i="75"/>
  <c r="M148" i="75"/>
  <c r="P148" i="75" s="1"/>
  <c r="Q148" i="75" s="1"/>
  <c r="M147" i="75"/>
  <c r="M146" i="75"/>
  <c r="P146" i="75" s="1"/>
  <c r="M145" i="75"/>
  <c r="M144" i="75"/>
  <c r="M143" i="75"/>
  <c r="M142" i="75"/>
  <c r="P142" i="75" s="1"/>
  <c r="M141" i="75"/>
  <c r="M140" i="75"/>
  <c r="P140" i="75" s="1"/>
  <c r="M139" i="75"/>
  <c r="M138" i="75"/>
  <c r="P138" i="75" s="1"/>
  <c r="M137" i="75"/>
  <c r="M136" i="75"/>
  <c r="M135" i="75"/>
  <c r="P135" i="75" s="1"/>
  <c r="M134" i="75"/>
  <c r="P134" i="75" s="1"/>
  <c r="M133" i="75"/>
  <c r="M132" i="75"/>
  <c r="M131" i="75"/>
  <c r="P130" i="75"/>
  <c r="Q130" i="75" s="1"/>
  <c r="Q129" i="75"/>
  <c r="F129" i="75"/>
  <c r="M128" i="75"/>
  <c r="Q127" i="75"/>
  <c r="M126" i="75"/>
  <c r="Q125" i="75"/>
  <c r="M124" i="75"/>
  <c r="P124" i="75" s="1"/>
  <c r="M123" i="75"/>
  <c r="P123" i="75" s="1"/>
  <c r="Q122" i="75"/>
  <c r="M121" i="75"/>
  <c r="P121" i="75" s="1"/>
  <c r="M120" i="75"/>
  <c r="P120" i="75" s="1"/>
  <c r="M119" i="75"/>
  <c r="P119" i="75" s="1"/>
  <c r="M118" i="75"/>
  <c r="P118" i="75" s="1"/>
  <c r="M117" i="75"/>
  <c r="P117" i="75" s="1"/>
  <c r="M116" i="75"/>
  <c r="P116" i="75" s="1"/>
  <c r="M115" i="75"/>
  <c r="P115" i="75" s="1"/>
  <c r="M114" i="75"/>
  <c r="P114" i="75" s="1"/>
  <c r="M113" i="75"/>
  <c r="P113" i="75" s="1"/>
  <c r="M112" i="75"/>
  <c r="P112" i="75" s="1"/>
  <c r="M111" i="75"/>
  <c r="P111" i="75" s="1"/>
  <c r="M110" i="75"/>
  <c r="P110" i="75" s="1"/>
  <c r="M109" i="75"/>
  <c r="P109" i="75" s="1"/>
  <c r="M108" i="75"/>
  <c r="P108" i="75" s="1"/>
  <c r="M107" i="75"/>
  <c r="P107" i="75" s="1"/>
  <c r="M106" i="75"/>
  <c r="M105" i="75"/>
  <c r="P105" i="75" s="1"/>
  <c r="P104" i="75"/>
  <c r="Q104" i="75" s="1"/>
  <c r="M103" i="75"/>
  <c r="P103" i="75" s="1"/>
  <c r="M102" i="75"/>
  <c r="P102" i="75" s="1"/>
  <c r="M101" i="75"/>
  <c r="M100" i="75"/>
  <c r="P100" i="75" s="1"/>
  <c r="Q100" i="75" s="1"/>
  <c r="Q99" i="75"/>
  <c r="F99" i="75"/>
  <c r="Q96" i="75"/>
  <c r="M95" i="75"/>
  <c r="M94" i="75"/>
  <c r="M93" i="75"/>
  <c r="P93" i="75" s="1"/>
  <c r="Q93" i="75" s="1"/>
  <c r="Q92" i="75"/>
  <c r="P91" i="75"/>
  <c r="M89" i="75"/>
  <c r="M88" i="75"/>
  <c r="Q86" i="75"/>
  <c r="M85" i="75"/>
  <c r="P85" i="75" s="1"/>
  <c r="M84" i="75"/>
  <c r="Q83" i="75"/>
  <c r="M82" i="75"/>
  <c r="P82" i="75" s="1"/>
  <c r="M81" i="75"/>
  <c r="P81" i="75" s="1"/>
  <c r="M80" i="75"/>
  <c r="P80" i="75" s="1"/>
  <c r="M78" i="75"/>
  <c r="P78" i="75" s="1"/>
  <c r="M77" i="75"/>
  <c r="P77" i="75" s="1"/>
  <c r="M76" i="75"/>
  <c r="P76" i="75" s="1"/>
  <c r="Q75" i="75"/>
  <c r="P74" i="75"/>
  <c r="Q74" i="75" s="1"/>
  <c r="M73" i="75"/>
  <c r="M72" i="75"/>
  <c r="P72" i="75" s="1"/>
  <c r="M71" i="75"/>
  <c r="P71" i="75" s="1"/>
  <c r="Q71" i="75" s="1"/>
  <c r="M70" i="75"/>
  <c r="M69" i="75"/>
  <c r="P69" i="75" s="1"/>
  <c r="M68" i="75"/>
  <c r="P68" i="75" s="1"/>
  <c r="P67" i="75"/>
  <c r="M67" i="75"/>
  <c r="Q66" i="75"/>
  <c r="F66" i="75"/>
  <c r="M65" i="75"/>
  <c r="P65" i="75" s="1"/>
  <c r="M64" i="75"/>
  <c r="P64" i="75" s="1"/>
  <c r="Q64" i="75" s="1"/>
  <c r="M63" i="75"/>
  <c r="M62" i="75"/>
  <c r="P62" i="75" s="1"/>
  <c r="M61" i="75"/>
  <c r="P61" i="75" s="1"/>
  <c r="M60" i="75"/>
  <c r="P60" i="75" s="1"/>
  <c r="Q60" i="75" s="1"/>
  <c r="M59" i="75"/>
  <c r="P59" i="75" s="1"/>
  <c r="M58" i="75"/>
  <c r="P58" i="75" s="1"/>
  <c r="M57" i="75"/>
  <c r="P57" i="75" s="1"/>
  <c r="M52" i="75"/>
  <c r="P52" i="75" s="1"/>
  <c r="M51" i="75"/>
  <c r="P51" i="75" s="1"/>
  <c r="M50" i="75"/>
  <c r="P50" i="75" s="1"/>
  <c r="M49" i="75"/>
  <c r="P49" i="75" s="1"/>
  <c r="M48" i="75"/>
  <c r="P48" i="75" s="1"/>
  <c r="M47" i="75"/>
  <c r="P46" i="75"/>
  <c r="Q46" i="75" s="1"/>
  <c r="P45" i="75"/>
  <c r="Q45" i="75" s="1"/>
  <c r="P44" i="75"/>
  <c r="Q44" i="75" s="1"/>
  <c r="M43" i="75"/>
  <c r="M42" i="75"/>
  <c r="Q41" i="75"/>
  <c r="M40" i="75"/>
  <c r="P40" i="75" s="1"/>
  <c r="M39" i="75"/>
  <c r="P39" i="75" s="1"/>
  <c r="M38" i="75"/>
  <c r="M37" i="75"/>
  <c r="P37" i="75" s="1"/>
  <c r="Q36" i="75"/>
  <c r="M35" i="75"/>
  <c r="P35" i="75" s="1"/>
  <c r="M34" i="75"/>
  <c r="P34" i="75" s="1"/>
  <c r="M33" i="75"/>
  <c r="P33" i="75" s="1"/>
  <c r="M32" i="75"/>
  <c r="P32" i="75" s="1"/>
  <c r="M31" i="75"/>
  <c r="P31" i="75" s="1"/>
  <c r="Q30" i="75"/>
  <c r="M29" i="75"/>
  <c r="P29" i="75" s="1"/>
  <c r="Q28" i="75"/>
  <c r="P23" i="75"/>
  <c r="M23" i="75"/>
  <c r="P22" i="75"/>
  <c r="M22" i="75"/>
  <c r="M21" i="75"/>
  <c r="P21" i="75" s="1"/>
  <c r="Q21" i="75" s="1"/>
  <c r="Q20" i="75"/>
  <c r="P19" i="75"/>
  <c r="Q19" i="75" s="1"/>
  <c r="M18" i="75"/>
  <c r="P18" i="75" s="1"/>
  <c r="M17" i="75"/>
  <c r="P17" i="75" s="1"/>
  <c r="Q17" i="75" s="1"/>
  <c r="P16" i="75"/>
  <c r="M16" i="75"/>
  <c r="P15" i="75"/>
  <c r="M15" i="75"/>
  <c r="P14" i="75"/>
  <c r="M14" i="75"/>
  <c r="P13" i="75"/>
  <c r="Q13" i="75" s="1"/>
  <c r="F12" i="75"/>
  <c r="N75" i="74"/>
  <c r="M276" i="74"/>
  <c r="P276" i="74"/>
  <c r="Q276" i="74" s="1"/>
  <c r="M274" i="74"/>
  <c r="Q274" i="74" s="1"/>
  <c r="P274" i="74"/>
  <c r="M29" i="74"/>
  <c r="P29" i="74"/>
  <c r="M30" i="74"/>
  <c r="P30" i="74" s="1"/>
  <c r="M31" i="74"/>
  <c r="P31" i="74"/>
  <c r="M32" i="74"/>
  <c r="P32" i="74"/>
  <c r="M177" i="74"/>
  <c r="P177" i="74" s="1"/>
  <c r="M178" i="74"/>
  <c r="P178" i="74" s="1"/>
  <c r="M176" i="74"/>
  <c r="P176" i="74" s="1"/>
  <c r="M215" i="74"/>
  <c r="P215" i="74" s="1"/>
  <c r="M214" i="74"/>
  <c r="P214" i="74" s="1"/>
  <c r="P213" i="74"/>
  <c r="M174" i="74"/>
  <c r="P174" i="74" s="1"/>
  <c r="M186" i="74"/>
  <c r="P186" i="74" s="1"/>
  <c r="M109" i="74"/>
  <c r="P109" i="74" s="1"/>
  <c r="M110" i="74"/>
  <c r="P110" i="74" s="1"/>
  <c r="M111" i="74"/>
  <c r="P111" i="74" s="1"/>
  <c r="M112" i="74"/>
  <c r="P112" i="74" s="1"/>
  <c r="M113" i="74"/>
  <c r="P113" i="74" s="1"/>
  <c r="M114" i="74"/>
  <c r="P114" i="74" s="1"/>
  <c r="M115" i="74"/>
  <c r="P115" i="74" s="1"/>
  <c r="M116" i="74"/>
  <c r="P116" i="74" s="1"/>
  <c r="M117" i="74"/>
  <c r="P117" i="74" s="1"/>
  <c r="M118" i="74"/>
  <c r="P118" i="74" s="1"/>
  <c r="M119" i="74"/>
  <c r="P119" i="74" s="1"/>
  <c r="M120" i="74"/>
  <c r="P120" i="74" s="1"/>
  <c r="M121" i="74"/>
  <c r="P121" i="74" s="1"/>
  <c r="M122" i="74"/>
  <c r="P122" i="74" s="1"/>
  <c r="M123" i="74"/>
  <c r="P123" i="74" s="1"/>
  <c r="M82" i="74"/>
  <c r="P82" i="74" s="1"/>
  <c r="M231" i="74"/>
  <c r="P231" i="74" s="1"/>
  <c r="M232" i="74"/>
  <c r="P232" i="74" s="1"/>
  <c r="N90" i="74"/>
  <c r="M92" i="74"/>
  <c r="P92" i="74" s="1"/>
  <c r="P206" i="74"/>
  <c r="P205" i="74"/>
  <c r="M205" i="74"/>
  <c r="P204" i="74"/>
  <c r="M204" i="74"/>
  <c r="Q263" i="75" l="1"/>
  <c r="P147" i="75"/>
  <c r="Q147" i="75" s="1"/>
  <c r="Q76" i="75"/>
  <c r="P79" i="75"/>
  <c r="Q79" i="75" s="1"/>
  <c r="Q249" i="75"/>
  <c r="Q251" i="75"/>
  <c r="Q67" i="75"/>
  <c r="Q254" i="75"/>
  <c r="P106" i="75"/>
  <c r="Q106" i="75" s="1"/>
  <c r="P133" i="75"/>
  <c r="Q133" i="75" s="1"/>
  <c r="P136" i="75"/>
  <c r="Q136" i="75" s="1"/>
  <c r="P143" i="75"/>
  <c r="Q143" i="75" s="1"/>
  <c r="P235" i="75"/>
  <c r="Q235" i="75" s="1"/>
  <c r="Q260" i="75"/>
  <c r="Q37" i="75"/>
  <c r="Q65" i="75"/>
  <c r="P90" i="75"/>
  <c r="Q90" i="75" s="1"/>
  <c r="Q135" i="75"/>
  <c r="P152" i="75"/>
  <c r="Q152" i="75" s="1"/>
  <c r="Q16" i="75"/>
  <c r="Q59" i="75"/>
  <c r="Q103" i="75"/>
  <c r="Q140" i="75"/>
  <c r="Q151" i="75"/>
  <c r="Q155" i="75"/>
  <c r="Q257" i="75"/>
  <c r="Q259" i="75"/>
  <c r="Q261" i="75"/>
  <c r="M265" i="75"/>
  <c r="M340" i="75" s="1"/>
  <c r="Q57" i="75"/>
  <c r="Q72" i="75"/>
  <c r="P89" i="75"/>
  <c r="Q89" i="75" s="1"/>
  <c r="P126" i="75"/>
  <c r="Q126" i="75" s="1"/>
  <c r="P128" i="75"/>
  <c r="Q128" i="75" s="1"/>
  <c r="P132" i="75"/>
  <c r="Q132" i="75" s="1"/>
  <c r="P139" i="75"/>
  <c r="Q139" i="75" s="1"/>
  <c r="P144" i="75"/>
  <c r="Q144" i="75" s="1"/>
  <c r="P154" i="75"/>
  <c r="Q154" i="75" s="1"/>
  <c r="P159" i="75"/>
  <c r="Q159" i="75" s="1"/>
  <c r="P184" i="75"/>
  <c r="Q184" i="75" s="1"/>
  <c r="Q195" i="75"/>
  <c r="P204" i="75"/>
  <c r="Q204" i="75" s="1"/>
  <c r="P206" i="75"/>
  <c r="Q206" i="75" s="1"/>
  <c r="P212" i="75"/>
  <c r="Q212" i="75" s="1"/>
  <c r="P214" i="75"/>
  <c r="Q214" i="75" s="1"/>
  <c r="P234" i="75"/>
  <c r="Q234" i="75" s="1"/>
  <c r="Q161" i="75"/>
  <c r="P180" i="75"/>
  <c r="Q180" i="75" s="1"/>
  <c r="P239" i="75"/>
  <c r="Q239" i="75" s="1"/>
  <c r="Q245" i="75"/>
  <c r="Q252" i="75"/>
  <c r="Q105" i="75"/>
  <c r="Q146" i="75"/>
  <c r="Q216" i="75"/>
  <c r="Q15" i="75"/>
  <c r="Q29" i="75"/>
  <c r="Q142" i="75"/>
  <c r="Q157" i="75"/>
  <c r="Q196" i="75"/>
  <c r="Q238" i="75"/>
  <c r="Q244" i="75"/>
  <c r="Q255" i="75"/>
  <c r="Q258" i="75"/>
  <c r="P94" i="75"/>
  <c r="Q94" i="75" s="1"/>
  <c r="F265" i="75"/>
  <c r="P228" i="75"/>
  <c r="Q228" i="75" s="1"/>
  <c r="P43" i="75"/>
  <c r="Q43" i="75" s="1"/>
  <c r="P63" i="75"/>
  <c r="Q63" i="75" s="1"/>
  <c r="P84" i="75"/>
  <c r="Q84" i="75" s="1"/>
  <c r="P88" i="75"/>
  <c r="Q88" i="75" s="1"/>
  <c r="P101" i="75"/>
  <c r="Q101" i="75" s="1"/>
  <c r="P149" i="75"/>
  <c r="Q149" i="75" s="1"/>
  <c r="P164" i="75"/>
  <c r="Q164" i="75" s="1"/>
  <c r="P229" i="75"/>
  <c r="Q229" i="75" s="1"/>
  <c r="K265" i="75"/>
  <c r="P145" i="75"/>
  <c r="Q145" i="75" s="1"/>
  <c r="P233" i="75"/>
  <c r="Q233" i="75" s="1"/>
  <c r="P47" i="75"/>
  <c r="Q61" i="75"/>
  <c r="Q14" i="75"/>
  <c r="P38" i="75"/>
  <c r="Q38" i="75" s="1"/>
  <c r="P42" i="75"/>
  <c r="Q42" i="75" s="1"/>
  <c r="Q62" i="75"/>
  <c r="Q68" i="75"/>
  <c r="P70" i="75"/>
  <c r="Q70" i="75" s="1"/>
  <c r="P73" i="75"/>
  <c r="Q73" i="75" s="1"/>
  <c r="Q77" i="75"/>
  <c r="N265" i="75"/>
  <c r="N340" i="75" s="1"/>
  <c r="P95" i="75"/>
  <c r="Q95" i="75" s="1"/>
  <c r="Q102" i="75"/>
  <c r="Q134" i="75"/>
  <c r="P137" i="75"/>
  <c r="Q137" i="75" s="1"/>
  <c r="Q150" i="75"/>
  <c r="P153" i="75"/>
  <c r="Q153" i="75" s="1"/>
  <c r="P177" i="75"/>
  <c r="Q177" i="75" s="1"/>
  <c r="Q230" i="75"/>
  <c r="P241" i="75"/>
  <c r="Q241" i="75" s="1"/>
  <c r="Q253" i="75"/>
  <c r="Q262" i="75"/>
  <c r="Q58" i="75"/>
  <c r="P131" i="75"/>
  <c r="Q131" i="75" s="1"/>
  <c r="P160" i="75"/>
  <c r="Q160" i="75" s="1"/>
  <c r="P183" i="75"/>
  <c r="Q183" i="75" s="1"/>
  <c r="P205" i="75"/>
  <c r="Q205" i="75" s="1"/>
  <c r="P215" i="75"/>
  <c r="Q215" i="75" s="1"/>
  <c r="P243" i="75"/>
  <c r="Q243" i="75" s="1"/>
  <c r="Q48" i="75"/>
  <c r="Q69" i="75"/>
  <c r="Q78" i="75"/>
  <c r="P87" i="75"/>
  <c r="Q87" i="75" s="1"/>
  <c r="Q138" i="75"/>
  <c r="P141" i="75"/>
  <c r="Q141" i="75" s="1"/>
  <c r="P156" i="75"/>
  <c r="Q156" i="75" s="1"/>
  <c r="P237" i="75"/>
  <c r="Q237" i="75" s="1"/>
  <c r="Q242" i="75"/>
  <c r="P246" i="75"/>
  <c r="Q246" i="75" s="1"/>
  <c r="M91" i="74"/>
  <c r="P91" i="74" s="1"/>
  <c r="M93" i="74"/>
  <c r="P93" i="74" s="1"/>
  <c r="M76" i="74"/>
  <c r="P76" i="74" s="1"/>
  <c r="M77" i="74"/>
  <c r="P77" i="74" s="1"/>
  <c r="M78" i="74"/>
  <c r="P78" i="74" s="1"/>
  <c r="M81" i="74"/>
  <c r="P81" i="74" s="1"/>
  <c r="Q81" i="74" s="1"/>
  <c r="M126" i="74"/>
  <c r="P126" i="74" s="1"/>
  <c r="M125" i="74"/>
  <c r="P125" i="74" s="1"/>
  <c r="M52" i="74"/>
  <c r="P52" i="74" s="1"/>
  <c r="M51" i="74"/>
  <c r="P51" i="74" s="1"/>
  <c r="P265" i="75" l="1"/>
  <c r="P340" i="75" s="1"/>
  <c r="Q47" i="75"/>
  <c r="N352" i="74"/>
  <c r="P352" i="74" s="1"/>
  <c r="M352" i="74"/>
  <c r="P348" i="74"/>
  <c r="M348" i="74"/>
  <c r="P347" i="74"/>
  <c r="M347" i="74"/>
  <c r="P346" i="74"/>
  <c r="M346" i="74"/>
  <c r="P345" i="74"/>
  <c r="M345" i="74"/>
  <c r="P344" i="74"/>
  <c r="M344" i="74"/>
  <c r="P342" i="74"/>
  <c r="M342" i="74"/>
  <c r="P340" i="74"/>
  <c r="M340" i="74"/>
  <c r="N338" i="74"/>
  <c r="P338" i="74" s="1"/>
  <c r="N337" i="74"/>
  <c r="P337" i="74" s="1"/>
  <c r="N336" i="74"/>
  <c r="P336" i="74" s="1"/>
  <c r="N335" i="74"/>
  <c r="P335" i="74" s="1"/>
  <c r="M335" i="74"/>
  <c r="N334" i="74"/>
  <c r="P334" i="74" s="1"/>
  <c r="M334" i="74"/>
  <c r="N333" i="74"/>
  <c r="P333" i="74" s="1"/>
  <c r="M333" i="74"/>
  <c r="N332" i="74"/>
  <c r="P332" i="74" s="1"/>
  <c r="M332" i="74"/>
  <c r="N331" i="74"/>
  <c r="P331" i="74" s="1"/>
  <c r="M331" i="74"/>
  <c r="N330" i="74"/>
  <c r="P330" i="74" s="1"/>
  <c r="M330" i="74"/>
  <c r="N329" i="74"/>
  <c r="P329" i="74" s="1"/>
  <c r="M329" i="74"/>
  <c r="N328" i="74"/>
  <c r="P328" i="74" s="1"/>
  <c r="M328" i="74"/>
  <c r="N327" i="74"/>
  <c r="P327" i="74" s="1"/>
  <c r="M327" i="74"/>
  <c r="N326" i="74"/>
  <c r="P326" i="74" s="1"/>
  <c r="M326" i="74"/>
  <c r="N325" i="74"/>
  <c r="P325" i="74" s="1"/>
  <c r="M325" i="74"/>
  <c r="N324" i="74"/>
  <c r="P324" i="74" s="1"/>
  <c r="M324" i="74"/>
  <c r="N323" i="74"/>
  <c r="P323" i="74" s="1"/>
  <c r="M323" i="74"/>
  <c r="N322" i="74"/>
  <c r="P322" i="74" s="1"/>
  <c r="M322" i="74"/>
  <c r="N321" i="74"/>
  <c r="P321" i="74" s="1"/>
  <c r="M321" i="74"/>
  <c r="N320" i="74"/>
  <c r="P320" i="74" s="1"/>
  <c r="M320" i="74"/>
  <c r="N319" i="74"/>
  <c r="P319" i="74" s="1"/>
  <c r="M319" i="74"/>
  <c r="N318" i="74"/>
  <c r="P318" i="74" s="1"/>
  <c r="M318" i="74"/>
  <c r="N317" i="74"/>
  <c r="P317" i="74" s="1"/>
  <c r="M317" i="74"/>
  <c r="N316" i="74"/>
  <c r="P316" i="74" s="1"/>
  <c r="M316" i="74"/>
  <c r="N315" i="74"/>
  <c r="P315" i="74" s="1"/>
  <c r="M315" i="74"/>
  <c r="N313" i="74"/>
  <c r="P313" i="74" s="1"/>
  <c r="M313" i="74"/>
  <c r="P312" i="74"/>
  <c r="M312" i="74"/>
  <c r="N310" i="74"/>
  <c r="P310" i="74" s="1"/>
  <c r="M310" i="74"/>
  <c r="P309" i="74"/>
  <c r="M309" i="74"/>
  <c r="N307" i="74"/>
  <c r="P307" i="74" s="1"/>
  <c r="M307" i="74"/>
  <c r="N305" i="74"/>
  <c r="P305" i="74" s="1"/>
  <c r="M305" i="74"/>
  <c r="P304" i="74"/>
  <c r="M304" i="74"/>
  <c r="N302" i="74"/>
  <c r="P302" i="74" s="1"/>
  <c r="M302" i="74"/>
  <c r="M298" i="74"/>
  <c r="P297" i="74"/>
  <c r="M297" i="74"/>
  <c r="N295" i="74"/>
  <c r="P295" i="74" s="1"/>
  <c r="M295" i="74"/>
  <c r="N293" i="74"/>
  <c r="P293" i="74" s="1"/>
  <c r="P291" i="74"/>
  <c r="N289" i="74"/>
  <c r="P289" i="74" s="1"/>
  <c r="M289" i="74"/>
  <c r="N287" i="74"/>
  <c r="P287" i="74" s="1"/>
  <c r="M287" i="74"/>
  <c r="N285" i="74"/>
  <c r="P285" i="74" s="1"/>
  <c r="M285" i="74"/>
  <c r="N284" i="74"/>
  <c r="P284" i="74" s="1"/>
  <c r="M284" i="74"/>
  <c r="Q279" i="74"/>
  <c r="F279" i="74"/>
  <c r="P278" i="74"/>
  <c r="M278" i="74"/>
  <c r="P277" i="74"/>
  <c r="M277" i="74"/>
  <c r="P275" i="74"/>
  <c r="M275" i="74"/>
  <c r="P273" i="74"/>
  <c r="M273" i="74"/>
  <c r="P272" i="74"/>
  <c r="M272" i="74"/>
  <c r="P271" i="74"/>
  <c r="M271" i="74"/>
  <c r="P270" i="74"/>
  <c r="M270" i="74"/>
  <c r="P269" i="74"/>
  <c r="M269" i="74"/>
  <c r="P268" i="74"/>
  <c r="M268" i="74"/>
  <c r="P267" i="74"/>
  <c r="M267" i="74"/>
  <c r="P266" i="74"/>
  <c r="M266" i="74"/>
  <c r="P265" i="74"/>
  <c r="M265" i="74"/>
  <c r="P264" i="74"/>
  <c r="M264" i="74"/>
  <c r="P263" i="74"/>
  <c r="M263" i="74"/>
  <c r="P262" i="74"/>
  <c r="M262" i="74"/>
  <c r="P261" i="74"/>
  <c r="M261" i="74"/>
  <c r="P260" i="74"/>
  <c r="M260" i="74"/>
  <c r="Q259" i="74"/>
  <c r="Q258" i="74"/>
  <c r="M257" i="74"/>
  <c r="P257" i="74" s="1"/>
  <c r="Q257" i="74" s="1"/>
  <c r="M256" i="74"/>
  <c r="P256" i="74" s="1"/>
  <c r="M255" i="74"/>
  <c r="P255" i="74" s="1"/>
  <c r="M254" i="74"/>
  <c r="M253" i="74"/>
  <c r="P253" i="74" s="1"/>
  <c r="Q253" i="74" s="1"/>
  <c r="M252" i="74"/>
  <c r="P252" i="74" s="1"/>
  <c r="Q252" i="74" s="1"/>
  <c r="M251" i="74"/>
  <c r="M250" i="74"/>
  <c r="M249" i="74"/>
  <c r="M248" i="74"/>
  <c r="P248" i="74" s="1"/>
  <c r="Q248" i="74" s="1"/>
  <c r="M247" i="74"/>
  <c r="M246" i="74"/>
  <c r="M245" i="74"/>
  <c r="M244" i="74"/>
  <c r="P244" i="74" s="1"/>
  <c r="Q244" i="74" s="1"/>
  <c r="M243" i="74"/>
  <c r="P243" i="74" s="1"/>
  <c r="M242" i="74"/>
  <c r="M241" i="74"/>
  <c r="M240" i="74"/>
  <c r="P240" i="74" s="1"/>
  <c r="Q240" i="74" s="1"/>
  <c r="M239" i="74"/>
  <c r="M238" i="74"/>
  <c r="K237" i="74"/>
  <c r="M237" i="74" s="1"/>
  <c r="M236" i="74"/>
  <c r="Q235" i="74"/>
  <c r="Q234" i="74"/>
  <c r="M233" i="74"/>
  <c r="P233" i="74" s="1"/>
  <c r="Q230" i="74"/>
  <c r="Q229" i="74"/>
  <c r="Q228" i="74"/>
  <c r="Q226" i="74"/>
  <c r="M225" i="74"/>
  <c r="P225" i="74" s="1"/>
  <c r="Q224" i="74"/>
  <c r="M223" i="74"/>
  <c r="P223" i="74" s="1"/>
  <c r="Q222" i="74"/>
  <c r="M221" i="74"/>
  <c r="P221" i="74" s="1"/>
  <c r="M220" i="74"/>
  <c r="M219" i="74"/>
  <c r="Q218" i="74"/>
  <c r="M217" i="74"/>
  <c r="Q216" i="74"/>
  <c r="Q212" i="74"/>
  <c r="M211" i="74"/>
  <c r="M210" i="74"/>
  <c r="P210" i="74" s="1"/>
  <c r="Q210" i="74" s="1"/>
  <c r="M209" i="74"/>
  <c r="P208" i="74"/>
  <c r="Q208" i="74" s="1"/>
  <c r="Q207" i="74"/>
  <c r="Q203" i="74"/>
  <c r="P202" i="74"/>
  <c r="Q202" i="74" s="1"/>
  <c r="P201" i="74"/>
  <c r="M201" i="74"/>
  <c r="P200" i="74"/>
  <c r="M200" i="74"/>
  <c r="Q199" i="74"/>
  <c r="F199" i="74"/>
  <c r="M198" i="74"/>
  <c r="P198" i="74" s="1"/>
  <c r="M197" i="74"/>
  <c r="P197" i="74" s="1"/>
  <c r="Q196" i="74"/>
  <c r="F196" i="74"/>
  <c r="P195" i="74"/>
  <c r="Q195" i="74" s="1"/>
  <c r="Q194" i="74"/>
  <c r="P193" i="74"/>
  <c r="Q193" i="74" s="1"/>
  <c r="Q192" i="74"/>
  <c r="F192" i="74"/>
  <c r="P191" i="74"/>
  <c r="Q191" i="74" s="1"/>
  <c r="Q190" i="74"/>
  <c r="M189" i="74"/>
  <c r="P189" i="74" s="1"/>
  <c r="M188" i="74"/>
  <c r="Q187" i="74"/>
  <c r="M185" i="74"/>
  <c r="Q184" i="74"/>
  <c r="M183" i="74"/>
  <c r="P183" i="74" s="1"/>
  <c r="M182" i="74"/>
  <c r="P182" i="74" s="1"/>
  <c r="Q182" i="74" s="1"/>
  <c r="Q181" i="74"/>
  <c r="F181" i="74"/>
  <c r="Q180" i="74"/>
  <c r="Q179" i="74"/>
  <c r="Q175" i="74"/>
  <c r="M173" i="74"/>
  <c r="P173" i="74" s="1"/>
  <c r="M172" i="74"/>
  <c r="P172" i="74" s="1"/>
  <c r="M171" i="74"/>
  <c r="P171" i="74" s="1"/>
  <c r="M170" i="74"/>
  <c r="P170" i="74" s="1"/>
  <c r="M169" i="74"/>
  <c r="P169" i="74" s="1"/>
  <c r="M168" i="74"/>
  <c r="M167" i="74"/>
  <c r="P167" i="74" s="1"/>
  <c r="Q167" i="74" s="1"/>
  <c r="M166" i="74"/>
  <c r="P166" i="74" s="1"/>
  <c r="Q166" i="74" s="1"/>
  <c r="M165" i="74"/>
  <c r="M164" i="74"/>
  <c r="M163" i="74"/>
  <c r="P163" i="74" s="1"/>
  <c r="Q163" i="74" s="1"/>
  <c r="M162" i="74"/>
  <c r="P162" i="74" s="1"/>
  <c r="M161" i="74"/>
  <c r="P161" i="74" s="1"/>
  <c r="M160" i="74"/>
  <c r="M159" i="74"/>
  <c r="P159" i="74" s="1"/>
  <c r="Q159" i="74" s="1"/>
  <c r="M158" i="74"/>
  <c r="P158" i="74" s="1"/>
  <c r="Q158" i="74" s="1"/>
  <c r="M157" i="74"/>
  <c r="M156" i="74"/>
  <c r="M155" i="74"/>
  <c r="P155" i="74" s="1"/>
  <c r="M154" i="74"/>
  <c r="P154" i="74" s="1"/>
  <c r="M153" i="74"/>
  <c r="M152" i="74"/>
  <c r="P152" i="74" s="1"/>
  <c r="M151" i="74"/>
  <c r="P151" i="74" s="1"/>
  <c r="M150" i="74"/>
  <c r="M149" i="74"/>
  <c r="M148" i="74"/>
  <c r="P148" i="74" s="1"/>
  <c r="M147" i="74"/>
  <c r="M146" i="74"/>
  <c r="P146" i="74" s="1"/>
  <c r="M145" i="74"/>
  <c r="P145" i="74" s="1"/>
  <c r="Q145" i="74" s="1"/>
  <c r="M144" i="74"/>
  <c r="N280" i="74"/>
  <c r="N355" i="74" s="1"/>
  <c r="M143" i="74"/>
  <c r="M142" i="74"/>
  <c r="P142" i="74" s="1"/>
  <c r="M141" i="74"/>
  <c r="P141" i="74" s="1"/>
  <c r="Q141" i="74" s="1"/>
  <c r="M140" i="74"/>
  <c r="M139" i="74"/>
  <c r="M138" i="74"/>
  <c r="P138" i="74" s="1"/>
  <c r="M137" i="74"/>
  <c r="M136" i="74"/>
  <c r="P136" i="74" s="1"/>
  <c r="M135" i="74"/>
  <c r="P135" i="74" s="1"/>
  <c r="Q135" i="74" s="1"/>
  <c r="M134" i="74"/>
  <c r="M133" i="74"/>
  <c r="Q131" i="74"/>
  <c r="F131" i="74"/>
  <c r="M130" i="74"/>
  <c r="P130" i="74" s="1"/>
  <c r="Q129" i="74"/>
  <c r="M128" i="74"/>
  <c r="P128" i="74" s="1"/>
  <c r="Q127" i="74"/>
  <c r="Q124" i="74"/>
  <c r="M108" i="74"/>
  <c r="M107" i="74"/>
  <c r="P107" i="74" s="1"/>
  <c r="P106" i="74"/>
  <c r="Q106" i="74" s="1"/>
  <c r="M105" i="74"/>
  <c r="M104" i="74"/>
  <c r="M103" i="74"/>
  <c r="P103" i="74" s="1"/>
  <c r="Q103" i="74" s="1"/>
  <c r="M102" i="74"/>
  <c r="Q101" i="74"/>
  <c r="F101" i="74"/>
  <c r="P100" i="74"/>
  <c r="Q100" i="74" s="1"/>
  <c r="P99" i="74"/>
  <c r="Q99" i="74" s="1"/>
  <c r="Q98" i="74"/>
  <c r="M97" i="74"/>
  <c r="P97" i="74" s="1"/>
  <c r="M96" i="74"/>
  <c r="P96" i="74" s="1"/>
  <c r="Q96" i="74" s="1"/>
  <c r="M95" i="74"/>
  <c r="Q94" i="74"/>
  <c r="P90" i="74"/>
  <c r="Q90" i="74" s="1"/>
  <c r="M89" i="74"/>
  <c r="P89" i="74" s="1"/>
  <c r="M88" i="74"/>
  <c r="P88" i="74" s="1"/>
  <c r="M87" i="74"/>
  <c r="P87" i="74" s="1"/>
  <c r="Q87" i="74" s="1"/>
  <c r="M86" i="74"/>
  <c r="P86" i="74" s="1"/>
  <c r="Q86" i="74" s="1"/>
  <c r="M85" i="74"/>
  <c r="Q84" i="74"/>
  <c r="M83" i="74"/>
  <c r="P83" i="74" s="1"/>
  <c r="M80" i="74"/>
  <c r="Q79" i="74"/>
  <c r="M75" i="74"/>
  <c r="P75" i="74" s="1"/>
  <c r="M74" i="74"/>
  <c r="P74" i="74" s="1"/>
  <c r="Q74" i="74" s="1"/>
  <c r="M73" i="74"/>
  <c r="P73" i="74" s="1"/>
  <c r="Q73" i="74" s="1"/>
  <c r="M72" i="74"/>
  <c r="Q71" i="74"/>
  <c r="M69" i="74"/>
  <c r="P69" i="74" s="1"/>
  <c r="M68" i="74"/>
  <c r="P68" i="74" s="1"/>
  <c r="Q68" i="74" s="1"/>
  <c r="M67" i="74"/>
  <c r="P67" i="74" s="1"/>
  <c r="Q67" i="74" s="1"/>
  <c r="M66" i="74"/>
  <c r="M65" i="74"/>
  <c r="M64" i="74"/>
  <c r="P64" i="74" s="1"/>
  <c r="Q64" i="74" s="1"/>
  <c r="P63" i="74"/>
  <c r="M63" i="74"/>
  <c r="Q62" i="74"/>
  <c r="F62" i="74"/>
  <c r="M61" i="74"/>
  <c r="P61" i="74" s="1"/>
  <c r="Q61" i="74" s="1"/>
  <c r="M60" i="74"/>
  <c r="P60" i="74" s="1"/>
  <c r="Q60" i="74" s="1"/>
  <c r="M59" i="74"/>
  <c r="M58" i="74"/>
  <c r="M57" i="74"/>
  <c r="P57" i="74" s="1"/>
  <c r="Q57" i="74" s="1"/>
  <c r="M56" i="74"/>
  <c r="M55" i="74"/>
  <c r="M54" i="74"/>
  <c r="P54" i="74" s="1"/>
  <c r="Q54" i="74" s="1"/>
  <c r="M53" i="74"/>
  <c r="P53" i="74" s="1"/>
  <c r="Q53" i="74" s="1"/>
  <c r="M50" i="74"/>
  <c r="M49" i="74"/>
  <c r="P49" i="74" s="1"/>
  <c r="M48" i="74"/>
  <c r="P48" i="74" s="1"/>
  <c r="M47" i="74"/>
  <c r="M46" i="74"/>
  <c r="P46" i="74" s="1"/>
  <c r="Q46" i="74" s="1"/>
  <c r="M45" i="74"/>
  <c r="P44" i="74"/>
  <c r="Q44" i="74" s="1"/>
  <c r="P43" i="74"/>
  <c r="Q43" i="74" s="1"/>
  <c r="P42" i="74"/>
  <c r="Q42" i="74" s="1"/>
  <c r="M41" i="74"/>
  <c r="M40" i="74"/>
  <c r="P40" i="74" s="1"/>
  <c r="Q40" i="74" s="1"/>
  <c r="M39" i="74"/>
  <c r="P39" i="74" s="1"/>
  <c r="Q39" i="74" s="1"/>
  <c r="Q38" i="74"/>
  <c r="M37" i="74"/>
  <c r="P37" i="74" s="1"/>
  <c r="M36" i="74"/>
  <c r="P36" i="74" s="1"/>
  <c r="M35" i="74"/>
  <c r="P35" i="74" s="1"/>
  <c r="Q35" i="74" s="1"/>
  <c r="M34" i="74"/>
  <c r="P34" i="74" s="1"/>
  <c r="Q33" i="74"/>
  <c r="M28" i="74"/>
  <c r="P28" i="74" s="1"/>
  <c r="Q27" i="74"/>
  <c r="M26" i="74"/>
  <c r="Q25" i="74"/>
  <c r="P24" i="74"/>
  <c r="M24" i="74"/>
  <c r="P23" i="74"/>
  <c r="M23" i="74"/>
  <c r="P22" i="74"/>
  <c r="M22" i="74"/>
  <c r="M21" i="74"/>
  <c r="P21" i="74" s="1"/>
  <c r="Q21" i="74" s="1"/>
  <c r="Q20" i="74"/>
  <c r="P19" i="74"/>
  <c r="Q19" i="74" s="1"/>
  <c r="M18" i="74"/>
  <c r="P18" i="74" s="1"/>
  <c r="M17" i="74"/>
  <c r="P17" i="74" s="1"/>
  <c r="P16" i="74"/>
  <c r="M16" i="74"/>
  <c r="P15" i="74"/>
  <c r="M15" i="74"/>
  <c r="P14" i="74"/>
  <c r="M14" i="74"/>
  <c r="P13" i="74"/>
  <c r="Q13" i="74" s="1"/>
  <c r="F12" i="74"/>
  <c r="N137" i="73"/>
  <c r="M204" i="73"/>
  <c r="P204" i="73" s="1"/>
  <c r="M203" i="73"/>
  <c r="P203" i="73" s="1"/>
  <c r="M234" i="73"/>
  <c r="P234" i="73" s="1"/>
  <c r="M20" i="73"/>
  <c r="P20" i="73" s="1"/>
  <c r="Q265" i="75" l="1"/>
  <c r="Q263" i="74"/>
  <c r="Q15" i="74"/>
  <c r="Q107" i="74"/>
  <c r="Q97" i="74"/>
  <c r="Q267" i="74"/>
  <c r="Q14" i="74"/>
  <c r="Q201" i="74"/>
  <c r="Q260" i="74"/>
  <c r="Q272" i="74"/>
  <c r="Q16" i="74"/>
  <c r="Q269" i="74"/>
  <c r="Q271" i="74"/>
  <c r="Q278" i="74"/>
  <c r="Q200" i="74"/>
  <c r="Q262" i="74"/>
  <c r="P47" i="74"/>
  <c r="Q47" i="74" s="1"/>
  <c r="Q138" i="74"/>
  <c r="Q152" i="74"/>
  <c r="Q155" i="74"/>
  <c r="P132" i="74"/>
  <c r="Q132" i="74" s="1"/>
  <c r="Q162" i="74"/>
  <c r="P251" i="74"/>
  <c r="Q251" i="74" s="1"/>
  <c r="Q256" i="74"/>
  <c r="Q264" i="74"/>
  <c r="Q273" i="74"/>
  <c r="Q221" i="74"/>
  <c r="P55" i="74"/>
  <c r="Q55" i="74" s="1"/>
  <c r="Q128" i="74"/>
  <c r="Q148" i="74"/>
  <c r="P247" i="74"/>
  <c r="Q247" i="74" s="1"/>
  <c r="P65" i="74"/>
  <c r="Q65" i="74" s="1"/>
  <c r="Q17" i="74"/>
  <c r="Q34" i="74"/>
  <c r="P58" i="74"/>
  <c r="Q58" i="74" s="1"/>
  <c r="Q63" i="74"/>
  <c r="Q69" i="74"/>
  <c r="Q75" i="74"/>
  <c r="P80" i="74"/>
  <c r="Q80" i="74" s="1"/>
  <c r="Q88" i="74"/>
  <c r="Q136" i="74"/>
  <c r="Q142" i="74"/>
  <c r="Q146" i="74"/>
  <c r="P156" i="74"/>
  <c r="Q156" i="74" s="1"/>
  <c r="P165" i="74"/>
  <c r="Q165" i="74" s="1"/>
  <c r="Q169" i="74"/>
  <c r="P239" i="74"/>
  <c r="Q239" i="74" s="1"/>
  <c r="Q243" i="74"/>
  <c r="Q265" i="74"/>
  <c r="Q268" i="74"/>
  <c r="Q275" i="74"/>
  <c r="P188" i="74"/>
  <c r="Q188" i="74" s="1"/>
  <c r="P26" i="74"/>
  <c r="Q26" i="74" s="1"/>
  <c r="P41" i="74"/>
  <c r="Q41" i="74" s="1"/>
  <c r="P45" i="74"/>
  <c r="Q45" i="74" s="1"/>
  <c r="P50" i="74"/>
  <c r="Q50" i="74" s="1"/>
  <c r="P56" i="74"/>
  <c r="Q56" i="74" s="1"/>
  <c r="P59" i="74"/>
  <c r="Q59" i="74" s="1"/>
  <c r="P66" i="74"/>
  <c r="Q66" i="74" s="1"/>
  <c r="P70" i="74"/>
  <c r="Q70" i="74" s="1"/>
  <c r="P72" i="74"/>
  <c r="Q72" i="74" s="1"/>
  <c r="P85" i="74"/>
  <c r="Q85" i="74" s="1"/>
  <c r="Q151" i="74"/>
  <c r="Q154" i="74"/>
  <c r="P164" i="74"/>
  <c r="Q164" i="74" s="1"/>
  <c r="Q189" i="74"/>
  <c r="P220" i="74"/>
  <c r="Q220" i="74" s="1"/>
  <c r="Q223" i="74"/>
  <c r="P242" i="74"/>
  <c r="Q242" i="74" s="1"/>
  <c r="P250" i="74"/>
  <c r="Q250" i="74" s="1"/>
  <c r="Q255" i="74"/>
  <c r="Q89" i="74"/>
  <c r="P137" i="74"/>
  <c r="Q137" i="74" s="1"/>
  <c r="P95" i="74"/>
  <c r="Q95" i="74" s="1"/>
  <c r="P105" i="74"/>
  <c r="Q105" i="74" s="1"/>
  <c r="P133" i="74"/>
  <c r="Q133" i="74" s="1"/>
  <c r="P134" i="74"/>
  <c r="Q134" i="74" s="1"/>
  <c r="P140" i="74"/>
  <c r="Q140" i="74" s="1"/>
  <c r="P144" i="74"/>
  <c r="Q144" i="74" s="1"/>
  <c r="P150" i="74"/>
  <c r="Q150" i="74" s="1"/>
  <c r="P160" i="74"/>
  <c r="Q160" i="74" s="1"/>
  <c r="P185" i="74"/>
  <c r="Q185" i="74" s="1"/>
  <c r="P237" i="74"/>
  <c r="Q237" i="74" s="1"/>
  <c r="K280" i="74"/>
  <c r="P102" i="74"/>
  <c r="Q102" i="74" s="1"/>
  <c r="P168" i="74"/>
  <c r="Q168" i="74" s="1"/>
  <c r="F280" i="74"/>
  <c r="P209" i="74"/>
  <c r="Q209" i="74" s="1"/>
  <c r="P254" i="74"/>
  <c r="Q254" i="74" s="1"/>
  <c r="M280" i="74"/>
  <c r="Q130" i="74"/>
  <c r="P157" i="74"/>
  <c r="Q157" i="74" s="1"/>
  <c r="Q161" i="74"/>
  <c r="P211" i="74"/>
  <c r="Q211" i="74" s="1"/>
  <c r="P238" i="74"/>
  <c r="Q238" i="74" s="1"/>
  <c r="P246" i="74"/>
  <c r="Q246" i="74" s="1"/>
  <c r="Q266" i="74"/>
  <c r="Q277" i="74"/>
  <c r="P104" i="74"/>
  <c r="Q104" i="74" s="1"/>
  <c r="P108" i="74"/>
  <c r="Q108" i="74" s="1"/>
  <c r="P139" i="74"/>
  <c r="Q139" i="74" s="1"/>
  <c r="P143" i="74"/>
  <c r="Q143" i="74" s="1"/>
  <c r="P147" i="74"/>
  <c r="Q147" i="74" s="1"/>
  <c r="P149" i="74"/>
  <c r="Q149" i="74" s="1"/>
  <c r="P153" i="74"/>
  <c r="Q153" i="74" s="1"/>
  <c r="P217" i="74"/>
  <c r="Q217" i="74" s="1"/>
  <c r="P219" i="74"/>
  <c r="Q219" i="74" s="1"/>
  <c r="P236" i="74"/>
  <c r="Q236" i="74" s="1"/>
  <c r="P241" i="74"/>
  <c r="Q241" i="74" s="1"/>
  <c r="P245" i="74"/>
  <c r="Q245" i="74" s="1"/>
  <c r="P249" i="74"/>
  <c r="Q249" i="74" s="1"/>
  <c r="N111" i="73"/>
  <c r="M180" i="73"/>
  <c r="P180" i="73" s="1"/>
  <c r="M114" i="73"/>
  <c r="M233" i="73"/>
  <c r="P233" i="73" s="1"/>
  <c r="M34" i="73"/>
  <c r="P34" i="73" s="1"/>
  <c r="M35" i="73"/>
  <c r="P35" i="73" s="1"/>
  <c r="M228" i="73"/>
  <c r="P228" i="73" s="1"/>
  <c r="P280" i="74" l="1"/>
  <c r="P355" i="74" s="1"/>
  <c r="M355" i="74"/>
  <c r="P114" i="73"/>
  <c r="Q114" i="73" s="1"/>
  <c r="M190" i="73"/>
  <c r="P190" i="73" s="1"/>
  <c r="P274" i="73"/>
  <c r="M274" i="73"/>
  <c r="M30" i="73"/>
  <c r="P30" i="73" s="1"/>
  <c r="Q280" i="74" l="1"/>
  <c r="M78" i="73"/>
  <c r="P78" i="73" s="1"/>
  <c r="M178" i="73" l="1"/>
  <c r="P178" i="73" s="1"/>
  <c r="M179" i="73"/>
  <c r="P179" i="73" s="1"/>
  <c r="M181" i="73"/>
  <c r="P181" i="73" s="1"/>
  <c r="M48" i="73"/>
  <c r="P48" i="73" s="1"/>
  <c r="M49" i="73"/>
  <c r="P49" i="73" s="1"/>
  <c r="M111" i="73"/>
  <c r="P111" i="73" s="1"/>
  <c r="Q111" i="73" s="1"/>
  <c r="M25" i="73" l="1"/>
  <c r="P25" i="73"/>
  <c r="M26" i="73"/>
  <c r="P26" i="73"/>
  <c r="M23" i="73"/>
  <c r="P23" i="73" s="1"/>
  <c r="P24" i="73"/>
  <c r="M24" i="73"/>
  <c r="Q22" i="73"/>
  <c r="M264" i="73" l="1"/>
  <c r="P264" i="73"/>
  <c r="M203" i="72"/>
  <c r="P203" i="72" s="1"/>
  <c r="P208" i="73" l="1"/>
  <c r="Q208" i="73" s="1"/>
  <c r="Q23" i="73"/>
  <c r="Q27" i="73"/>
  <c r="Q29" i="73"/>
  <c r="Q31" i="73"/>
  <c r="Q36" i="73"/>
  <c r="Q61" i="73"/>
  <c r="Q70" i="73"/>
  <c r="Q75" i="73"/>
  <c r="Q79" i="73"/>
  <c r="Q88" i="73"/>
  <c r="Q92" i="73"/>
  <c r="Q95" i="73"/>
  <c r="Q112" i="73"/>
  <c r="Q113" i="73"/>
  <c r="Q115" i="73"/>
  <c r="Q117" i="73"/>
  <c r="Q182" i="73"/>
  <c r="Q184" i="73"/>
  <c r="Q187" i="73"/>
  <c r="Q188" i="73"/>
  <c r="Q191" i="73"/>
  <c r="Q193" i="73"/>
  <c r="Q196" i="73"/>
  <c r="Q198" i="73"/>
  <c r="Q200" i="73"/>
  <c r="Q202" i="73"/>
  <c r="Q205" i="73"/>
  <c r="Q209" i="73"/>
  <c r="Q210" i="73"/>
  <c r="Q217" i="73"/>
  <c r="Q218" i="73"/>
  <c r="Q220" i="73"/>
  <c r="Q224" i="73"/>
  <c r="Q227" i="73"/>
  <c r="Q229" i="73"/>
  <c r="Q230" i="73"/>
  <c r="Q231" i="73"/>
  <c r="Q232" i="73"/>
  <c r="Q236" i="73"/>
  <c r="Q237" i="73"/>
  <c r="Q261" i="73"/>
  <c r="Q262" i="73"/>
  <c r="Q282" i="73"/>
  <c r="N355" i="73"/>
  <c r="P355" i="73" s="1"/>
  <c r="M355" i="73"/>
  <c r="P351" i="73"/>
  <c r="M351" i="73"/>
  <c r="P350" i="73"/>
  <c r="M350" i="73"/>
  <c r="P349" i="73"/>
  <c r="M349" i="73"/>
  <c r="P348" i="73"/>
  <c r="M348" i="73"/>
  <c r="P347" i="73"/>
  <c r="M347" i="73"/>
  <c r="P345" i="73"/>
  <c r="M345" i="73"/>
  <c r="P343" i="73"/>
  <c r="M343" i="73"/>
  <c r="N341" i="73"/>
  <c r="P341" i="73" s="1"/>
  <c r="N340" i="73"/>
  <c r="P340" i="73" s="1"/>
  <c r="N339" i="73"/>
  <c r="P339" i="73" s="1"/>
  <c r="N338" i="73"/>
  <c r="P338" i="73" s="1"/>
  <c r="M338" i="73"/>
  <c r="N337" i="73"/>
  <c r="P337" i="73" s="1"/>
  <c r="M337" i="73"/>
  <c r="N336" i="73"/>
  <c r="P336" i="73" s="1"/>
  <c r="M336" i="73"/>
  <c r="N335" i="73"/>
  <c r="P335" i="73" s="1"/>
  <c r="M335" i="73"/>
  <c r="N334" i="73"/>
  <c r="P334" i="73" s="1"/>
  <c r="M334" i="73"/>
  <c r="N333" i="73"/>
  <c r="P333" i="73" s="1"/>
  <c r="M333" i="73"/>
  <c r="N332" i="73"/>
  <c r="P332" i="73" s="1"/>
  <c r="M332" i="73"/>
  <c r="N331" i="73"/>
  <c r="P331" i="73" s="1"/>
  <c r="M331" i="73"/>
  <c r="N330" i="73"/>
  <c r="P330" i="73" s="1"/>
  <c r="M330" i="73"/>
  <c r="N329" i="73"/>
  <c r="P329" i="73" s="1"/>
  <c r="M329" i="73"/>
  <c r="N328" i="73"/>
  <c r="P328" i="73" s="1"/>
  <c r="M328" i="73"/>
  <c r="N327" i="73"/>
  <c r="P327" i="73" s="1"/>
  <c r="M327" i="73"/>
  <c r="N326" i="73"/>
  <c r="P326" i="73" s="1"/>
  <c r="M326" i="73"/>
  <c r="N325" i="73"/>
  <c r="P325" i="73" s="1"/>
  <c r="M325" i="73"/>
  <c r="N324" i="73"/>
  <c r="P324" i="73" s="1"/>
  <c r="M324" i="73"/>
  <c r="N323" i="73"/>
  <c r="P323" i="73" s="1"/>
  <c r="M323" i="73"/>
  <c r="N322" i="73"/>
  <c r="P322" i="73" s="1"/>
  <c r="M322" i="73"/>
  <c r="N321" i="73"/>
  <c r="P321" i="73" s="1"/>
  <c r="M321" i="73"/>
  <c r="N320" i="73"/>
  <c r="P320" i="73" s="1"/>
  <c r="M320" i="73"/>
  <c r="N319" i="73"/>
  <c r="P319" i="73" s="1"/>
  <c r="M319" i="73"/>
  <c r="N318" i="73"/>
  <c r="P318" i="73" s="1"/>
  <c r="M318" i="73"/>
  <c r="N316" i="73"/>
  <c r="P316" i="73" s="1"/>
  <c r="M316" i="73"/>
  <c r="P315" i="73"/>
  <c r="M315" i="73"/>
  <c r="N313" i="73"/>
  <c r="P313" i="73" s="1"/>
  <c r="M313" i="73"/>
  <c r="P312" i="73"/>
  <c r="M312" i="73"/>
  <c r="N310" i="73"/>
  <c r="P310" i="73" s="1"/>
  <c r="M310" i="73"/>
  <c r="N308" i="73"/>
  <c r="P308" i="73" s="1"/>
  <c r="M308" i="73"/>
  <c r="P307" i="73"/>
  <c r="M307" i="73"/>
  <c r="N305" i="73"/>
  <c r="P305" i="73" s="1"/>
  <c r="M305" i="73"/>
  <c r="M301" i="73"/>
  <c r="P300" i="73"/>
  <c r="M300" i="73"/>
  <c r="N298" i="73"/>
  <c r="P298" i="73" s="1"/>
  <c r="M298" i="73"/>
  <c r="N296" i="73"/>
  <c r="P296" i="73" s="1"/>
  <c r="P294" i="73"/>
  <c r="N292" i="73"/>
  <c r="P292" i="73" s="1"/>
  <c r="M292" i="73"/>
  <c r="N290" i="73"/>
  <c r="P290" i="73" s="1"/>
  <c r="M290" i="73"/>
  <c r="N288" i="73"/>
  <c r="P288" i="73" s="1"/>
  <c r="M288" i="73"/>
  <c r="N287" i="73"/>
  <c r="P287" i="73" s="1"/>
  <c r="M287" i="73"/>
  <c r="F282" i="73"/>
  <c r="P281" i="73"/>
  <c r="M281" i="73"/>
  <c r="P280" i="73"/>
  <c r="M280" i="73"/>
  <c r="P279" i="73"/>
  <c r="M279" i="73"/>
  <c r="P278" i="73"/>
  <c r="M278" i="73"/>
  <c r="P277" i="73"/>
  <c r="M277" i="73"/>
  <c r="P276" i="73"/>
  <c r="M276" i="73"/>
  <c r="P275" i="73"/>
  <c r="M275" i="73"/>
  <c r="P273" i="73"/>
  <c r="M273" i="73"/>
  <c r="P272" i="73"/>
  <c r="M272" i="73"/>
  <c r="P271" i="73"/>
  <c r="M271" i="73"/>
  <c r="P270" i="73"/>
  <c r="M270" i="73"/>
  <c r="P269" i="73"/>
  <c r="M269" i="73"/>
  <c r="P268" i="73"/>
  <c r="M268" i="73"/>
  <c r="P267" i="73"/>
  <c r="M267" i="73"/>
  <c r="P266" i="73"/>
  <c r="M266" i="73"/>
  <c r="P265" i="73"/>
  <c r="M265" i="73"/>
  <c r="P263" i="73"/>
  <c r="M263" i="73"/>
  <c r="M260" i="73"/>
  <c r="P260" i="73" s="1"/>
  <c r="M259" i="73"/>
  <c r="P259" i="73" s="1"/>
  <c r="M258" i="73"/>
  <c r="P258" i="73" s="1"/>
  <c r="M257" i="73"/>
  <c r="P257" i="73" s="1"/>
  <c r="M256" i="73"/>
  <c r="P256" i="73" s="1"/>
  <c r="M255" i="73"/>
  <c r="P255" i="73" s="1"/>
  <c r="M254" i="73"/>
  <c r="P254" i="73" s="1"/>
  <c r="M253" i="73"/>
  <c r="P253" i="73" s="1"/>
  <c r="M252" i="73"/>
  <c r="P252" i="73" s="1"/>
  <c r="M251" i="73"/>
  <c r="P251" i="73" s="1"/>
  <c r="M250" i="73"/>
  <c r="P250" i="73" s="1"/>
  <c r="M249" i="73"/>
  <c r="P249" i="73" s="1"/>
  <c r="M248" i="73"/>
  <c r="P248" i="73" s="1"/>
  <c r="M247" i="73"/>
  <c r="P247" i="73" s="1"/>
  <c r="M246" i="73"/>
  <c r="P246" i="73" s="1"/>
  <c r="M245" i="73"/>
  <c r="P245" i="73" s="1"/>
  <c r="M244" i="73"/>
  <c r="P244" i="73" s="1"/>
  <c r="M243" i="73"/>
  <c r="P243" i="73" s="1"/>
  <c r="M242" i="73"/>
  <c r="P242" i="73" s="1"/>
  <c r="M241" i="73"/>
  <c r="P241" i="73" s="1"/>
  <c r="K240" i="73"/>
  <c r="M240" i="73" s="1"/>
  <c r="P240" i="73" s="1"/>
  <c r="P238" i="73"/>
  <c r="M238" i="73"/>
  <c r="M226" i="73"/>
  <c r="P226" i="73" s="1"/>
  <c r="M225" i="73"/>
  <c r="P225" i="73" s="1"/>
  <c r="M223" i="73"/>
  <c r="P223" i="73" s="1"/>
  <c r="M222" i="73"/>
  <c r="P222" i="73" s="1"/>
  <c r="M221" i="73"/>
  <c r="P221" i="73" s="1"/>
  <c r="M219" i="73"/>
  <c r="P219" i="73" s="1"/>
  <c r="M216" i="73"/>
  <c r="P216" i="73" s="1"/>
  <c r="M215" i="73"/>
  <c r="P215" i="73" s="1"/>
  <c r="M214" i="73"/>
  <c r="P214" i="73" s="1"/>
  <c r="M213" i="73"/>
  <c r="P213" i="73" s="1"/>
  <c r="M212" i="73"/>
  <c r="P212" i="73" s="1"/>
  <c r="P211" i="73"/>
  <c r="Q211" i="73" s="1"/>
  <c r="P207" i="73"/>
  <c r="M207" i="73"/>
  <c r="P206" i="73"/>
  <c r="M206" i="73"/>
  <c r="F205" i="73"/>
  <c r="F202" i="73"/>
  <c r="P201" i="73"/>
  <c r="Q201" i="73" s="1"/>
  <c r="P199" i="73"/>
  <c r="Q199" i="73" s="1"/>
  <c r="F198" i="73"/>
  <c r="P197" i="73"/>
  <c r="Q197" i="73" s="1"/>
  <c r="M195" i="73"/>
  <c r="P195" i="73" s="1"/>
  <c r="M194" i="73"/>
  <c r="P194" i="73" s="1"/>
  <c r="M192" i="73"/>
  <c r="P192" i="73" s="1"/>
  <c r="M189" i="73"/>
  <c r="P189" i="73" s="1"/>
  <c r="F188" i="73"/>
  <c r="M186" i="73"/>
  <c r="P186" i="73" s="1"/>
  <c r="M185" i="73"/>
  <c r="P185" i="73" s="1"/>
  <c r="M183" i="73"/>
  <c r="P183" i="73" s="1"/>
  <c r="Q183" i="73" s="1"/>
  <c r="M177" i="73"/>
  <c r="P177" i="73" s="1"/>
  <c r="M176" i="73"/>
  <c r="P176" i="73" s="1"/>
  <c r="M175" i="73"/>
  <c r="P175" i="73" s="1"/>
  <c r="M174" i="73"/>
  <c r="P174" i="73" s="1"/>
  <c r="M173" i="73"/>
  <c r="P173" i="73" s="1"/>
  <c r="M172" i="73"/>
  <c r="P172" i="73" s="1"/>
  <c r="M171" i="73"/>
  <c r="P171" i="73" s="1"/>
  <c r="M170" i="73"/>
  <c r="P170" i="73" s="1"/>
  <c r="M169" i="73"/>
  <c r="P169" i="73" s="1"/>
  <c r="M168" i="73"/>
  <c r="P168" i="73" s="1"/>
  <c r="M167" i="73"/>
  <c r="P167" i="73" s="1"/>
  <c r="M166" i="73"/>
  <c r="P166" i="73" s="1"/>
  <c r="M165" i="73"/>
  <c r="P165" i="73" s="1"/>
  <c r="M164" i="73"/>
  <c r="P164" i="73" s="1"/>
  <c r="M163" i="73"/>
  <c r="P163" i="73" s="1"/>
  <c r="M162" i="73"/>
  <c r="P162" i="73" s="1"/>
  <c r="M161" i="73"/>
  <c r="P161" i="73" s="1"/>
  <c r="M160" i="73"/>
  <c r="P160" i="73" s="1"/>
  <c r="M159" i="73"/>
  <c r="P159" i="73" s="1"/>
  <c r="M158" i="73"/>
  <c r="P158" i="73" s="1"/>
  <c r="M157" i="73"/>
  <c r="P157" i="73" s="1"/>
  <c r="Q157" i="73" s="1"/>
  <c r="M156" i="73"/>
  <c r="P156" i="73" s="1"/>
  <c r="Q156" i="73" s="1"/>
  <c r="M155" i="73"/>
  <c r="P155" i="73" s="1"/>
  <c r="Q155" i="73" s="1"/>
  <c r="M154" i="73"/>
  <c r="P154" i="73" s="1"/>
  <c r="M153" i="73"/>
  <c r="P153" i="73" s="1"/>
  <c r="M152" i="73"/>
  <c r="P152" i="73" s="1"/>
  <c r="M151" i="73"/>
  <c r="P151" i="73" s="1"/>
  <c r="M150" i="73"/>
  <c r="P150" i="73" s="1"/>
  <c r="M149" i="73"/>
  <c r="P149" i="73" s="1"/>
  <c r="M148" i="73"/>
  <c r="P148" i="73" s="1"/>
  <c r="M147" i="73"/>
  <c r="P147" i="73" s="1"/>
  <c r="M146" i="73"/>
  <c r="P146" i="73" s="1"/>
  <c r="M145" i="73"/>
  <c r="P145" i="73" s="1"/>
  <c r="M144" i="73"/>
  <c r="P144" i="73" s="1"/>
  <c r="M143" i="73"/>
  <c r="P143" i="73" s="1"/>
  <c r="M142" i="73"/>
  <c r="P142" i="73" s="1"/>
  <c r="M141" i="73"/>
  <c r="P141" i="73" s="1"/>
  <c r="M140" i="73"/>
  <c r="P140" i="73" s="1"/>
  <c r="M139" i="73"/>
  <c r="P139" i="73" s="1"/>
  <c r="M138" i="73"/>
  <c r="P138" i="73" s="1"/>
  <c r="M137" i="73"/>
  <c r="P137" i="73" s="1"/>
  <c r="M136" i="73"/>
  <c r="P136" i="73" s="1"/>
  <c r="M135" i="73"/>
  <c r="P135" i="73" s="1"/>
  <c r="M239" i="73"/>
  <c r="P239" i="73" s="1"/>
  <c r="M134" i="73"/>
  <c r="P134" i="73" s="1"/>
  <c r="M133" i="73"/>
  <c r="P133" i="73" s="1"/>
  <c r="M132" i="73"/>
  <c r="P132" i="73" s="1"/>
  <c r="M131" i="73"/>
  <c r="P131" i="73" s="1"/>
  <c r="M130" i="73"/>
  <c r="P130" i="73" s="1"/>
  <c r="M129" i="73"/>
  <c r="P129" i="73" s="1"/>
  <c r="M128" i="73"/>
  <c r="P128" i="73" s="1"/>
  <c r="M127" i="73"/>
  <c r="P127" i="73" s="1"/>
  <c r="M126" i="73"/>
  <c r="P126" i="73" s="1"/>
  <c r="M125" i="73"/>
  <c r="P125" i="73" s="1"/>
  <c r="M124" i="73"/>
  <c r="P124" i="73" s="1"/>
  <c r="M122" i="73"/>
  <c r="P122" i="73" s="1"/>
  <c r="M121" i="73"/>
  <c r="P121" i="73" s="1"/>
  <c r="M120" i="73"/>
  <c r="P120" i="73" s="1"/>
  <c r="M119" i="73"/>
  <c r="P119" i="73" s="1"/>
  <c r="M118" i="73"/>
  <c r="P118" i="73" s="1"/>
  <c r="F117" i="73"/>
  <c r="M116" i="73"/>
  <c r="P116" i="73" s="1"/>
  <c r="M110" i="73"/>
  <c r="P110" i="73" s="1"/>
  <c r="M109" i="73"/>
  <c r="P109" i="73" s="1"/>
  <c r="M108" i="73"/>
  <c r="P108" i="73" s="1"/>
  <c r="M107" i="73"/>
  <c r="P107" i="73" s="1"/>
  <c r="M106" i="73"/>
  <c r="P106" i="73" s="1"/>
  <c r="M105" i="73"/>
  <c r="P105" i="73" s="1"/>
  <c r="M104" i="73"/>
  <c r="P104" i="73" s="1"/>
  <c r="M103" i="73"/>
  <c r="P103" i="73" s="1"/>
  <c r="M102" i="73"/>
  <c r="P102" i="73" s="1"/>
  <c r="M101" i="73"/>
  <c r="P101" i="73" s="1"/>
  <c r="M100" i="73"/>
  <c r="P100" i="73" s="1"/>
  <c r="M99" i="73"/>
  <c r="P99" i="73" s="1"/>
  <c r="M98" i="73"/>
  <c r="P98" i="73" s="1"/>
  <c r="M97" i="73"/>
  <c r="P97" i="73" s="1"/>
  <c r="M96" i="73"/>
  <c r="P96" i="73" s="1"/>
  <c r="F95" i="73"/>
  <c r="P94" i="73"/>
  <c r="Q94" i="73" s="1"/>
  <c r="P93" i="73"/>
  <c r="Q93" i="73" s="1"/>
  <c r="M91" i="73"/>
  <c r="P91" i="73" s="1"/>
  <c r="M90" i="73"/>
  <c r="P90" i="73" s="1"/>
  <c r="M89" i="73"/>
  <c r="P89" i="73" s="1"/>
  <c r="M87" i="73"/>
  <c r="P87" i="73" s="1"/>
  <c r="M86" i="73"/>
  <c r="P86" i="73" s="1"/>
  <c r="M85" i="73"/>
  <c r="P85" i="73" s="1"/>
  <c r="M84" i="73"/>
  <c r="P84" i="73" s="1"/>
  <c r="M83" i="73"/>
  <c r="P83" i="73" s="1"/>
  <c r="M82" i="73"/>
  <c r="P82" i="73" s="1"/>
  <c r="M81" i="73"/>
  <c r="P81" i="73" s="1"/>
  <c r="M80" i="73"/>
  <c r="P80" i="73" s="1"/>
  <c r="M77" i="73"/>
  <c r="P77" i="73" s="1"/>
  <c r="M76" i="73"/>
  <c r="P76" i="73" s="1"/>
  <c r="M74" i="73"/>
  <c r="P74" i="73" s="1"/>
  <c r="M73" i="73"/>
  <c r="P73" i="73" s="1"/>
  <c r="M72" i="73"/>
  <c r="P72" i="73" s="1"/>
  <c r="M71" i="73"/>
  <c r="P71" i="73" s="1"/>
  <c r="M69" i="73"/>
  <c r="P69" i="73" s="1"/>
  <c r="M68" i="73"/>
  <c r="P68" i="73" s="1"/>
  <c r="M67" i="73"/>
  <c r="P67" i="73" s="1"/>
  <c r="M66" i="73"/>
  <c r="P66" i="73" s="1"/>
  <c r="M65" i="73"/>
  <c r="P65" i="73" s="1"/>
  <c r="M64" i="73"/>
  <c r="P64" i="73" s="1"/>
  <c r="M63" i="73"/>
  <c r="P63" i="73" s="1"/>
  <c r="P62" i="73"/>
  <c r="M62" i="73"/>
  <c r="F61" i="73"/>
  <c r="M60" i="73"/>
  <c r="P60" i="73" s="1"/>
  <c r="M59" i="73"/>
  <c r="P59" i="73" s="1"/>
  <c r="M58" i="73"/>
  <c r="P58" i="73" s="1"/>
  <c r="M57" i="73"/>
  <c r="P57" i="73" s="1"/>
  <c r="M56" i="73"/>
  <c r="P56" i="73" s="1"/>
  <c r="M55" i="73"/>
  <c r="P55" i="73" s="1"/>
  <c r="M54" i="73"/>
  <c r="M53" i="73"/>
  <c r="P53" i="73" s="1"/>
  <c r="M52" i="73"/>
  <c r="P52" i="73" s="1"/>
  <c r="M51" i="73"/>
  <c r="P51" i="73" s="1"/>
  <c r="M50" i="73"/>
  <c r="P50" i="73" s="1"/>
  <c r="M47" i="73"/>
  <c r="P47" i="73" s="1"/>
  <c r="M46" i="73"/>
  <c r="P46" i="73" s="1"/>
  <c r="M45" i="73"/>
  <c r="P45" i="73" s="1"/>
  <c r="M44" i="73"/>
  <c r="P44" i="73" s="1"/>
  <c r="P43" i="73"/>
  <c r="Q43" i="73" s="1"/>
  <c r="P42" i="73"/>
  <c r="Q42" i="73" s="1"/>
  <c r="P41" i="73"/>
  <c r="Q41" i="73" s="1"/>
  <c r="M40" i="73"/>
  <c r="P40" i="73" s="1"/>
  <c r="M39" i="73"/>
  <c r="P39" i="73" s="1"/>
  <c r="M38" i="73"/>
  <c r="P38" i="73" s="1"/>
  <c r="M37" i="73"/>
  <c r="P37" i="73" s="1"/>
  <c r="M33" i="73"/>
  <c r="P33" i="73" s="1"/>
  <c r="M32" i="73"/>
  <c r="P32" i="73" s="1"/>
  <c r="M28" i="73"/>
  <c r="P28" i="73" s="1"/>
  <c r="P21" i="73"/>
  <c r="Q21" i="73" s="1"/>
  <c r="M19" i="73"/>
  <c r="P19" i="73" s="1"/>
  <c r="M18" i="73"/>
  <c r="P18" i="73" s="1"/>
  <c r="P17" i="73"/>
  <c r="M17" i="73"/>
  <c r="M16" i="73"/>
  <c r="P16" i="73" s="1"/>
  <c r="P15" i="73"/>
  <c r="M15" i="73"/>
  <c r="P14" i="73"/>
  <c r="M14" i="73"/>
  <c r="P13" i="73"/>
  <c r="Q13" i="73" s="1"/>
  <c r="F12" i="73"/>
  <c r="M46" i="72"/>
  <c r="P46" i="72" s="1"/>
  <c r="M73" i="72"/>
  <c r="P73" i="72" s="1"/>
  <c r="Q263" i="73" l="1"/>
  <c r="Q266" i="73"/>
  <c r="Q268" i="73"/>
  <c r="Q270" i="73"/>
  <c r="Q14" i="73"/>
  <c r="Q272" i="73"/>
  <c r="Q275" i="73"/>
  <c r="Q277" i="73"/>
  <c r="Q265" i="73"/>
  <c r="Q267" i="73"/>
  <c r="Q269" i="73"/>
  <c r="Q271" i="73"/>
  <c r="Q273" i="73"/>
  <c r="Q279" i="73"/>
  <c r="Q276" i="73"/>
  <c r="Q62" i="73"/>
  <c r="Q281" i="73"/>
  <c r="Q17" i="73"/>
  <c r="Q206" i="73"/>
  <c r="Q238" i="73"/>
  <c r="Q15" i="73"/>
  <c r="Q278" i="73"/>
  <c r="Q280" i="73"/>
  <c r="Q207" i="73"/>
  <c r="Q260" i="73"/>
  <c r="Q256" i="73"/>
  <c r="Q252" i="73"/>
  <c r="Q248" i="73"/>
  <c r="Q244" i="73"/>
  <c r="Q240" i="73"/>
  <c r="Q223" i="73"/>
  <c r="Q219" i="73"/>
  <c r="Q215" i="73"/>
  <c r="Q192" i="73"/>
  <c r="Q174" i="73"/>
  <c r="Q170" i="73"/>
  <c r="Q166" i="73"/>
  <c r="Q162" i="73"/>
  <c r="Q158" i="73"/>
  <c r="Q151" i="73"/>
  <c r="Q147" i="73"/>
  <c r="Q143" i="73"/>
  <c r="Q139" i="73"/>
  <c r="Q135" i="73"/>
  <c r="Q132" i="73"/>
  <c r="Q128" i="73"/>
  <c r="Q124" i="73"/>
  <c r="Q120" i="73"/>
  <c r="Q116" i="73"/>
  <c r="Q110" i="73"/>
  <c r="Q106" i="73"/>
  <c r="Q102" i="73"/>
  <c r="Q98" i="73"/>
  <c r="Q90" i="73"/>
  <c r="Q86" i="73"/>
  <c r="Q82" i="73"/>
  <c r="Q77" i="73"/>
  <c r="Q73" i="73"/>
  <c r="Q66" i="73"/>
  <c r="Q58" i="73"/>
  <c r="Q54" i="73"/>
  <c r="Q50" i="73"/>
  <c r="Q44" i="73"/>
  <c r="Q40" i="73"/>
  <c r="Q16" i="73"/>
  <c r="Q259" i="73"/>
  <c r="Q255" i="73"/>
  <c r="Q251" i="73"/>
  <c r="Q247" i="73"/>
  <c r="Q243" i="73"/>
  <c r="Q226" i="73"/>
  <c r="Q222" i="73"/>
  <c r="Q214" i="73"/>
  <c r="Q195" i="73"/>
  <c r="Q186" i="73"/>
  <c r="Q177" i="73"/>
  <c r="Q173" i="73"/>
  <c r="Q169" i="73"/>
  <c r="Q165" i="73"/>
  <c r="Q161" i="73"/>
  <c r="Q154" i="73"/>
  <c r="Q150" i="73"/>
  <c r="Q146" i="73"/>
  <c r="Q142" i="73"/>
  <c r="Q138" i="73"/>
  <c r="Q239" i="73"/>
  <c r="Q131" i="73"/>
  <c r="Q127" i="73"/>
  <c r="Q119" i="73"/>
  <c r="Q109" i="73"/>
  <c r="Q105" i="73"/>
  <c r="Q101" i="73"/>
  <c r="Q97" i="73"/>
  <c r="Q89" i="73"/>
  <c r="Q85" i="73"/>
  <c r="Q81" i="73"/>
  <c r="Q76" i="73"/>
  <c r="Q72" i="73"/>
  <c r="Q69" i="73"/>
  <c r="Q65" i="73"/>
  <c r="Q57" i="73"/>
  <c r="Q53" i="73"/>
  <c r="Q47" i="73"/>
  <c r="Q39" i="73"/>
  <c r="Q33" i="73"/>
  <c r="Q28" i="73"/>
  <c r="Q19" i="73"/>
  <c r="Q258" i="73"/>
  <c r="Q254" i="73"/>
  <c r="Q250" i="73"/>
  <c r="Q246" i="73"/>
  <c r="Q242" i="73"/>
  <c r="Q225" i="73"/>
  <c r="Q221" i="73"/>
  <c r="Q213" i="73"/>
  <c r="Q194" i="73"/>
  <c r="Q189" i="73"/>
  <c r="Q185" i="73"/>
  <c r="Q176" i="73"/>
  <c r="Q172" i="73"/>
  <c r="Q168" i="73"/>
  <c r="Q164" i="73"/>
  <c r="Q160" i="73"/>
  <c r="Q153" i="73"/>
  <c r="Q149" i="73"/>
  <c r="Q145" i="73"/>
  <c r="Q141" i="73"/>
  <c r="Q137" i="73"/>
  <c r="Q134" i="73"/>
  <c r="Q130" i="73"/>
  <c r="Q126" i="73"/>
  <c r="Q122" i="73"/>
  <c r="Q118" i="73"/>
  <c r="Q108" i="73"/>
  <c r="Q104" i="73"/>
  <c r="Q100" i="73"/>
  <c r="Q96" i="73"/>
  <c r="Q84" i="73"/>
  <c r="Q80" i="73"/>
  <c r="Q68" i="73"/>
  <c r="Q64" i="73"/>
  <c r="Q60" i="73"/>
  <c r="Q56" i="73"/>
  <c r="Q52" i="73"/>
  <c r="Q46" i="73"/>
  <c r="Q38" i="73"/>
  <c r="Q32" i="73"/>
  <c r="Q18" i="73"/>
  <c r="Q257" i="73"/>
  <c r="Q253" i="73"/>
  <c r="Q249" i="73"/>
  <c r="Q245" i="73"/>
  <c r="Q241" i="73"/>
  <c r="Q216" i="73"/>
  <c r="Q212" i="73"/>
  <c r="Q175" i="73"/>
  <c r="Q171" i="73"/>
  <c r="Q167" i="73"/>
  <c r="Q163" i="73"/>
  <c r="Q159" i="73"/>
  <c r="Q152" i="73"/>
  <c r="Q148" i="73"/>
  <c r="Q144" i="73"/>
  <c r="Q140" i="73"/>
  <c r="Q136" i="73"/>
  <c r="Q133" i="73"/>
  <c r="Q129" i="73"/>
  <c r="Q125" i="73"/>
  <c r="Q121" i="73"/>
  <c r="Q107" i="73"/>
  <c r="Q103" i="73"/>
  <c r="Q99" i="73"/>
  <c r="Q91" i="73"/>
  <c r="Q87" i="73"/>
  <c r="Q83" i="73"/>
  <c r="Q74" i="73"/>
  <c r="Q71" i="73"/>
  <c r="Q67" i="73"/>
  <c r="Q63" i="73"/>
  <c r="Q59" i="73"/>
  <c r="Q55" i="73"/>
  <c r="Q51" i="73"/>
  <c r="Q45" i="73"/>
  <c r="Q37" i="73"/>
  <c r="N283" i="73"/>
  <c r="N358" i="73" s="1"/>
  <c r="K283" i="73"/>
  <c r="P123" i="73"/>
  <c r="Q123" i="73" s="1"/>
  <c r="M283" i="73"/>
  <c r="M358" i="73" s="1"/>
  <c r="F283" i="73"/>
  <c r="M80" i="72"/>
  <c r="P80" i="72" s="1"/>
  <c r="M81" i="72"/>
  <c r="P81" i="72" s="1"/>
  <c r="M82" i="72"/>
  <c r="P82" i="72" s="1"/>
  <c r="M83" i="72"/>
  <c r="P83" i="72" s="1"/>
  <c r="M84" i="72"/>
  <c r="P84" i="72" s="1"/>
  <c r="M85" i="72"/>
  <c r="P85" i="72" s="1"/>
  <c r="M193" i="72"/>
  <c r="P193" i="72" s="1"/>
  <c r="N132" i="72"/>
  <c r="N128" i="72"/>
  <c r="M79" i="72"/>
  <c r="P79" i="72" s="1"/>
  <c r="M282" i="72"/>
  <c r="P282" i="72"/>
  <c r="M192" i="72"/>
  <c r="P192" i="72" s="1"/>
  <c r="N111" i="72"/>
  <c r="M229" i="72"/>
  <c r="P229" i="72" s="1"/>
  <c r="M230" i="72"/>
  <c r="P230" i="72" s="1"/>
  <c r="P283" i="73" l="1"/>
  <c r="M19" i="72"/>
  <c r="P19" i="72" s="1"/>
  <c r="P285" i="70"/>
  <c r="F124" i="72"/>
  <c r="F58" i="72"/>
  <c r="F217" i="72"/>
  <c r="F292" i="72"/>
  <c r="P358" i="73" l="1"/>
  <c r="Q283" i="73"/>
  <c r="M129" i="72"/>
  <c r="M148" i="72"/>
  <c r="P148" i="72" s="1"/>
  <c r="M149" i="72"/>
  <c r="P149" i="72" s="1"/>
  <c r="M71" i="72"/>
  <c r="P71" i="72" s="1"/>
  <c r="M173" i="72"/>
  <c r="P173" i="72" s="1"/>
  <c r="M172" i="72"/>
  <c r="P172" i="72" s="1"/>
  <c r="M171" i="72"/>
  <c r="P171" i="72" s="1"/>
  <c r="M29" i="72"/>
  <c r="P29" i="72" s="1"/>
  <c r="M28" i="72"/>
  <c r="P28" i="72" s="1"/>
  <c r="M146" i="72" l="1"/>
  <c r="P146" i="72" s="1"/>
  <c r="M147" i="72"/>
  <c r="P147" i="72" s="1"/>
  <c r="N365" i="72" l="1"/>
  <c r="P365" i="72" s="1"/>
  <c r="M365" i="72"/>
  <c r="P361" i="72"/>
  <c r="M361" i="72"/>
  <c r="P360" i="72"/>
  <c r="M360" i="72"/>
  <c r="P359" i="72"/>
  <c r="M359" i="72"/>
  <c r="P358" i="72"/>
  <c r="M358" i="72"/>
  <c r="P357" i="72"/>
  <c r="M357" i="72"/>
  <c r="P355" i="72"/>
  <c r="M355" i="72"/>
  <c r="P353" i="72"/>
  <c r="M353" i="72"/>
  <c r="N351" i="72"/>
  <c r="P351" i="72" s="1"/>
  <c r="N350" i="72"/>
  <c r="P350" i="72" s="1"/>
  <c r="N349" i="72"/>
  <c r="P349" i="72" s="1"/>
  <c r="N348" i="72"/>
  <c r="P348" i="72" s="1"/>
  <c r="M348" i="72"/>
  <c r="N347" i="72"/>
  <c r="P347" i="72" s="1"/>
  <c r="M347" i="72"/>
  <c r="N346" i="72"/>
  <c r="P346" i="72" s="1"/>
  <c r="M346" i="72"/>
  <c r="N345" i="72"/>
  <c r="P345" i="72" s="1"/>
  <c r="M345" i="72"/>
  <c r="N344" i="72"/>
  <c r="P344" i="72" s="1"/>
  <c r="M344" i="72"/>
  <c r="N343" i="72"/>
  <c r="P343" i="72" s="1"/>
  <c r="M343" i="72"/>
  <c r="N342" i="72"/>
  <c r="P342" i="72" s="1"/>
  <c r="M342" i="72"/>
  <c r="N341" i="72"/>
  <c r="P341" i="72" s="1"/>
  <c r="M341" i="72"/>
  <c r="N340" i="72"/>
  <c r="P340" i="72" s="1"/>
  <c r="M340" i="72"/>
  <c r="N339" i="72"/>
  <c r="P339" i="72" s="1"/>
  <c r="M339" i="72"/>
  <c r="N338" i="72"/>
  <c r="P338" i="72" s="1"/>
  <c r="M338" i="72"/>
  <c r="N337" i="72"/>
  <c r="P337" i="72" s="1"/>
  <c r="M337" i="72"/>
  <c r="N336" i="72"/>
  <c r="P336" i="72" s="1"/>
  <c r="M336" i="72"/>
  <c r="N335" i="72"/>
  <c r="P335" i="72" s="1"/>
  <c r="M335" i="72"/>
  <c r="N334" i="72"/>
  <c r="P334" i="72" s="1"/>
  <c r="M334" i="72"/>
  <c r="N333" i="72"/>
  <c r="P333" i="72" s="1"/>
  <c r="M333" i="72"/>
  <c r="N332" i="72"/>
  <c r="P332" i="72" s="1"/>
  <c r="M332" i="72"/>
  <c r="N331" i="72"/>
  <c r="P331" i="72" s="1"/>
  <c r="M331" i="72"/>
  <c r="N330" i="72"/>
  <c r="P330" i="72" s="1"/>
  <c r="M330" i="72"/>
  <c r="N329" i="72"/>
  <c r="P329" i="72" s="1"/>
  <c r="M329" i="72"/>
  <c r="N328" i="72"/>
  <c r="P328" i="72" s="1"/>
  <c r="M328" i="72"/>
  <c r="N326" i="72"/>
  <c r="P326" i="72" s="1"/>
  <c r="M326" i="72"/>
  <c r="P325" i="72"/>
  <c r="M325" i="72"/>
  <c r="N323" i="72"/>
  <c r="P323" i="72" s="1"/>
  <c r="M323" i="72"/>
  <c r="P322" i="72"/>
  <c r="M322" i="72"/>
  <c r="N320" i="72"/>
  <c r="P320" i="72" s="1"/>
  <c r="M320" i="72"/>
  <c r="N318" i="72"/>
  <c r="P318" i="72" s="1"/>
  <c r="M318" i="72"/>
  <c r="P317" i="72"/>
  <c r="M317" i="72"/>
  <c r="N315" i="72"/>
  <c r="P315" i="72" s="1"/>
  <c r="M315" i="72"/>
  <c r="M311" i="72"/>
  <c r="P310" i="72"/>
  <c r="M310" i="72"/>
  <c r="N308" i="72"/>
  <c r="P308" i="72" s="1"/>
  <c r="M308" i="72"/>
  <c r="N306" i="72"/>
  <c r="P306" i="72" s="1"/>
  <c r="P304" i="72"/>
  <c r="N302" i="72"/>
  <c r="P302" i="72" s="1"/>
  <c r="M302" i="72"/>
  <c r="N300" i="72"/>
  <c r="P300" i="72" s="1"/>
  <c r="M300" i="72"/>
  <c r="N298" i="72"/>
  <c r="P298" i="72" s="1"/>
  <c r="M298" i="72"/>
  <c r="N297" i="72"/>
  <c r="P297" i="72" s="1"/>
  <c r="M297" i="72"/>
  <c r="N293" i="72"/>
  <c r="N368" i="72" s="1"/>
  <c r="P291" i="72"/>
  <c r="M291" i="72"/>
  <c r="P290" i="72"/>
  <c r="M290" i="72"/>
  <c r="P289" i="72"/>
  <c r="M289" i="72"/>
  <c r="P288" i="72"/>
  <c r="M288" i="72"/>
  <c r="P287" i="72"/>
  <c r="M287" i="72"/>
  <c r="P286" i="72"/>
  <c r="M286" i="72"/>
  <c r="P285" i="72"/>
  <c r="M285" i="72"/>
  <c r="P284" i="72"/>
  <c r="M284" i="72"/>
  <c r="P283" i="72"/>
  <c r="M283" i="72"/>
  <c r="P281" i="72"/>
  <c r="M281" i="72"/>
  <c r="P280" i="72"/>
  <c r="M280" i="72"/>
  <c r="P279" i="72"/>
  <c r="M279" i="72"/>
  <c r="P278" i="72"/>
  <c r="M278" i="72"/>
  <c r="P277" i="72"/>
  <c r="M277" i="72"/>
  <c r="P276" i="72"/>
  <c r="M276" i="72"/>
  <c r="P275" i="72"/>
  <c r="M275" i="72"/>
  <c r="P274" i="72"/>
  <c r="M274" i="72"/>
  <c r="P250" i="72"/>
  <c r="M250" i="72"/>
  <c r="M241" i="72"/>
  <c r="P241" i="72" s="1"/>
  <c r="M240" i="72"/>
  <c r="P240" i="72" s="1"/>
  <c r="M238" i="72"/>
  <c r="P238" i="72" s="1"/>
  <c r="M237" i="72"/>
  <c r="P237" i="72" s="1"/>
  <c r="M236" i="72"/>
  <c r="P236" i="72" s="1"/>
  <c r="M234" i="72"/>
  <c r="P234" i="72" s="1"/>
  <c r="M232" i="72"/>
  <c r="P232" i="72" s="1"/>
  <c r="M228" i="72"/>
  <c r="P228" i="72" s="1"/>
  <c r="M227" i="72"/>
  <c r="P227" i="72" s="1"/>
  <c r="M226" i="72"/>
  <c r="P226" i="72" s="1"/>
  <c r="M225" i="72"/>
  <c r="P225" i="72" s="1"/>
  <c r="M224" i="72"/>
  <c r="P224" i="72" s="1"/>
  <c r="P223" i="72"/>
  <c r="P220" i="72"/>
  <c r="P219" i="72"/>
  <c r="M219" i="72"/>
  <c r="P218" i="72"/>
  <c r="M218" i="72"/>
  <c r="F216" i="72"/>
  <c r="P215" i="72"/>
  <c r="P213" i="72"/>
  <c r="F212" i="72"/>
  <c r="P211" i="72"/>
  <c r="M209" i="72"/>
  <c r="P209" i="72" s="1"/>
  <c r="M208" i="72"/>
  <c r="P208" i="72" s="1"/>
  <c r="M206" i="72"/>
  <c r="P206" i="72" s="1"/>
  <c r="M204" i="72"/>
  <c r="P204" i="72" s="1"/>
  <c r="M202" i="72"/>
  <c r="P202" i="72" s="1"/>
  <c r="M201" i="72"/>
  <c r="P201" i="72" s="1"/>
  <c r="F200" i="72"/>
  <c r="M198" i="72"/>
  <c r="P198" i="72" s="1"/>
  <c r="M197" i="72"/>
  <c r="P197" i="72" s="1"/>
  <c r="M195" i="72"/>
  <c r="P195" i="72" s="1"/>
  <c r="M191" i="72"/>
  <c r="P191" i="72" s="1"/>
  <c r="M190" i="72"/>
  <c r="P190" i="72" s="1"/>
  <c r="M189" i="72"/>
  <c r="P189" i="72" s="1"/>
  <c r="M188" i="72"/>
  <c r="P188" i="72" s="1"/>
  <c r="M187" i="72"/>
  <c r="P187" i="72" s="1"/>
  <c r="M186" i="72"/>
  <c r="P186" i="72" s="1"/>
  <c r="M185" i="72"/>
  <c r="P185" i="72" s="1"/>
  <c r="M184" i="72"/>
  <c r="P184" i="72" s="1"/>
  <c r="M183" i="72"/>
  <c r="P183" i="72" s="1"/>
  <c r="M182" i="72"/>
  <c r="P182" i="72" s="1"/>
  <c r="M181" i="72"/>
  <c r="P181" i="72" s="1"/>
  <c r="M180" i="72"/>
  <c r="P180" i="72" s="1"/>
  <c r="M179" i="72"/>
  <c r="P179" i="72" s="1"/>
  <c r="M178" i="72"/>
  <c r="P178" i="72" s="1"/>
  <c r="M177" i="72"/>
  <c r="P177" i="72" s="1"/>
  <c r="M176" i="72"/>
  <c r="P176" i="72" s="1"/>
  <c r="M175" i="72"/>
  <c r="P175" i="72" s="1"/>
  <c r="M174" i="72"/>
  <c r="P174" i="72" s="1"/>
  <c r="M170" i="72"/>
  <c r="P170" i="72" s="1"/>
  <c r="M169" i="72"/>
  <c r="P169" i="72" s="1"/>
  <c r="M168" i="72"/>
  <c r="P168" i="72" s="1"/>
  <c r="M167" i="72"/>
  <c r="P167" i="72" s="1"/>
  <c r="K166" i="72"/>
  <c r="M166" i="72" s="1"/>
  <c r="P166" i="72" s="1"/>
  <c r="M165" i="72"/>
  <c r="P165" i="72" s="1"/>
  <c r="M164" i="72"/>
  <c r="P164" i="72" s="1"/>
  <c r="M163" i="72"/>
  <c r="P163" i="72" s="1"/>
  <c r="M162" i="72"/>
  <c r="P162" i="72" s="1"/>
  <c r="M161" i="72"/>
  <c r="P161" i="72" s="1"/>
  <c r="M160" i="72"/>
  <c r="P160" i="72" s="1"/>
  <c r="M159" i="72"/>
  <c r="P159" i="72" s="1"/>
  <c r="M158" i="72"/>
  <c r="P158" i="72" s="1"/>
  <c r="M157" i="72"/>
  <c r="P157" i="72" s="1"/>
  <c r="M156" i="72"/>
  <c r="P156" i="72" s="1"/>
  <c r="M155" i="72"/>
  <c r="P155" i="72" s="1"/>
  <c r="M154" i="72"/>
  <c r="P154" i="72" s="1"/>
  <c r="M153" i="72"/>
  <c r="P153" i="72" s="1"/>
  <c r="M152" i="72"/>
  <c r="P152" i="72" s="1"/>
  <c r="M151" i="72"/>
  <c r="P151" i="72" s="1"/>
  <c r="M150" i="72"/>
  <c r="P150" i="72" s="1"/>
  <c r="M271" i="72"/>
  <c r="P271" i="72" s="1"/>
  <c r="M270" i="72"/>
  <c r="P270" i="72" s="1"/>
  <c r="M269" i="72"/>
  <c r="P269" i="72" s="1"/>
  <c r="M268" i="72"/>
  <c r="P268" i="72" s="1"/>
  <c r="M267" i="72"/>
  <c r="P267" i="72" s="1"/>
  <c r="M266" i="72"/>
  <c r="P266" i="72" s="1"/>
  <c r="M265" i="72"/>
  <c r="P265" i="72" s="1"/>
  <c r="M264" i="72"/>
  <c r="P264" i="72" s="1"/>
  <c r="M263" i="72"/>
  <c r="P263" i="72" s="1"/>
  <c r="M262" i="72"/>
  <c r="P262" i="72" s="1"/>
  <c r="M261" i="72"/>
  <c r="P261" i="72" s="1"/>
  <c r="M260" i="72"/>
  <c r="P260" i="72" s="1"/>
  <c r="M259" i="72"/>
  <c r="P259" i="72" s="1"/>
  <c r="M258" i="72"/>
  <c r="P258" i="72" s="1"/>
  <c r="M257" i="72"/>
  <c r="P257" i="72" s="1"/>
  <c r="M256" i="72"/>
  <c r="P256" i="72" s="1"/>
  <c r="M255" i="72"/>
  <c r="P255" i="72" s="1"/>
  <c r="M254" i="72"/>
  <c r="P254" i="72" s="1"/>
  <c r="M253" i="72"/>
  <c r="P253" i="72" s="1"/>
  <c r="M252" i="72"/>
  <c r="P252" i="72" s="1"/>
  <c r="K251" i="72"/>
  <c r="M145" i="72"/>
  <c r="P145" i="72" s="1"/>
  <c r="M144" i="72"/>
  <c r="P144" i="72" s="1"/>
  <c r="M143" i="72"/>
  <c r="P143" i="72" s="1"/>
  <c r="M142" i="72"/>
  <c r="P142" i="72" s="1"/>
  <c r="M141" i="72"/>
  <c r="P141" i="72" s="1"/>
  <c r="M140" i="72"/>
  <c r="P140" i="72" s="1"/>
  <c r="M139" i="72"/>
  <c r="P139" i="72" s="1"/>
  <c r="M138" i="72"/>
  <c r="P138" i="72" s="1"/>
  <c r="M137" i="72"/>
  <c r="P137" i="72" s="1"/>
  <c r="M136" i="72"/>
  <c r="P136" i="72" s="1"/>
  <c r="M135" i="72"/>
  <c r="P135" i="72" s="1"/>
  <c r="M134" i="72"/>
  <c r="P134" i="72" s="1"/>
  <c r="M133" i="72"/>
  <c r="P133" i="72" s="1"/>
  <c r="M132" i="72"/>
  <c r="P132" i="72" s="1"/>
  <c r="M131" i="72"/>
  <c r="P131" i="72" s="1"/>
  <c r="M130" i="72"/>
  <c r="P130" i="72" s="1"/>
  <c r="M128" i="72"/>
  <c r="P128" i="72" s="1"/>
  <c r="M127" i="72"/>
  <c r="P127" i="72" s="1"/>
  <c r="M126" i="72"/>
  <c r="P126" i="72" s="1"/>
  <c r="M125" i="72"/>
  <c r="P125" i="72" s="1"/>
  <c r="M123" i="72"/>
  <c r="P123" i="72" s="1"/>
  <c r="M122" i="72"/>
  <c r="P122" i="72" s="1"/>
  <c r="M118" i="72"/>
  <c r="P118" i="72" s="1"/>
  <c r="M117" i="72"/>
  <c r="P117" i="72" s="1"/>
  <c r="M116" i="72"/>
  <c r="P116" i="72" s="1"/>
  <c r="M115" i="72"/>
  <c r="P115" i="72" s="1"/>
  <c r="M114" i="72"/>
  <c r="P114" i="72" s="1"/>
  <c r="M113" i="72"/>
  <c r="P113" i="72" s="1"/>
  <c r="M112" i="72"/>
  <c r="P112" i="72" s="1"/>
  <c r="M111" i="72"/>
  <c r="P111" i="72" s="1"/>
  <c r="M110" i="72"/>
  <c r="P110" i="72" s="1"/>
  <c r="M109" i="72"/>
  <c r="P109" i="72" s="1"/>
  <c r="M108" i="72"/>
  <c r="P108" i="72" s="1"/>
  <c r="M107" i="72"/>
  <c r="P107" i="72" s="1"/>
  <c r="M106" i="72"/>
  <c r="P106" i="72" s="1"/>
  <c r="M105" i="72"/>
  <c r="P105" i="72" s="1"/>
  <c r="M104" i="72"/>
  <c r="P104" i="72" s="1"/>
  <c r="M103" i="72"/>
  <c r="P103" i="72" s="1"/>
  <c r="M102" i="72"/>
  <c r="P102" i="72" s="1"/>
  <c r="M101" i="72"/>
  <c r="P101" i="72" s="1"/>
  <c r="M100" i="72"/>
  <c r="P100" i="72" s="1"/>
  <c r="M99" i="72"/>
  <c r="P99" i="72" s="1"/>
  <c r="M98" i="72"/>
  <c r="P98" i="72" s="1"/>
  <c r="M97" i="72"/>
  <c r="P97" i="72" s="1"/>
  <c r="M96" i="72"/>
  <c r="P96" i="72" s="1"/>
  <c r="M95" i="72"/>
  <c r="P95" i="72" s="1"/>
  <c r="M94" i="72"/>
  <c r="P94" i="72" s="1"/>
  <c r="F93" i="72"/>
  <c r="P92" i="72"/>
  <c r="P91" i="72"/>
  <c r="M89" i="72"/>
  <c r="P89" i="72" s="1"/>
  <c r="M88" i="72"/>
  <c r="P88" i="72" s="1"/>
  <c r="M87" i="72"/>
  <c r="P87" i="72" s="1"/>
  <c r="M78" i="72"/>
  <c r="P78" i="72" s="1"/>
  <c r="M76" i="72"/>
  <c r="P76" i="72" s="1"/>
  <c r="M75" i="72"/>
  <c r="P75" i="72" s="1"/>
  <c r="M72" i="72"/>
  <c r="P72" i="72" s="1"/>
  <c r="M70" i="72"/>
  <c r="P70" i="72" s="1"/>
  <c r="M69" i="72"/>
  <c r="P69" i="72" s="1"/>
  <c r="M68" i="72"/>
  <c r="P68" i="72" s="1"/>
  <c r="M66" i="72"/>
  <c r="P66" i="72" s="1"/>
  <c r="M65" i="72"/>
  <c r="P65" i="72" s="1"/>
  <c r="M64" i="72"/>
  <c r="P64" i="72" s="1"/>
  <c r="M63" i="72"/>
  <c r="P63" i="72" s="1"/>
  <c r="M62" i="72"/>
  <c r="P62" i="72" s="1"/>
  <c r="M61" i="72"/>
  <c r="P61" i="72" s="1"/>
  <c r="M60" i="72"/>
  <c r="P60" i="72" s="1"/>
  <c r="P59" i="72"/>
  <c r="M59" i="72"/>
  <c r="M57" i="72"/>
  <c r="P57" i="72" s="1"/>
  <c r="M56" i="72"/>
  <c r="P56" i="72" s="1"/>
  <c r="M55" i="72"/>
  <c r="P55" i="72" s="1"/>
  <c r="M54" i="72"/>
  <c r="P54" i="72" s="1"/>
  <c r="M53" i="72"/>
  <c r="P53" i="72" s="1"/>
  <c r="M52" i="72"/>
  <c r="P52" i="72" s="1"/>
  <c r="M51" i="72"/>
  <c r="P51" i="72" s="1"/>
  <c r="M50" i="72"/>
  <c r="P50" i="72" s="1"/>
  <c r="M49" i="72"/>
  <c r="P49" i="72" s="1"/>
  <c r="M48" i="72"/>
  <c r="P48" i="72" s="1"/>
  <c r="M47" i="72"/>
  <c r="P47" i="72" s="1"/>
  <c r="M45" i="72"/>
  <c r="P45" i="72" s="1"/>
  <c r="M44" i="72"/>
  <c r="P44" i="72" s="1"/>
  <c r="M43" i="72"/>
  <c r="P43" i="72" s="1"/>
  <c r="M42" i="72"/>
  <c r="P42" i="72" s="1"/>
  <c r="P41" i="72"/>
  <c r="P40" i="72"/>
  <c r="P39" i="72"/>
  <c r="M38" i="72"/>
  <c r="P38" i="72" s="1"/>
  <c r="M37" i="72"/>
  <c r="P37" i="72" s="1"/>
  <c r="M36" i="72"/>
  <c r="P36" i="72" s="1"/>
  <c r="M35" i="72"/>
  <c r="P35" i="72" s="1"/>
  <c r="M34" i="72"/>
  <c r="P34" i="72" s="1"/>
  <c r="M33" i="72"/>
  <c r="P33" i="72" s="1"/>
  <c r="M32" i="72"/>
  <c r="P32" i="72" s="1"/>
  <c r="M31" i="72"/>
  <c r="P31" i="72" s="1"/>
  <c r="M26" i="72"/>
  <c r="P26" i="72" s="1"/>
  <c r="M25" i="72"/>
  <c r="P25" i="72" s="1"/>
  <c r="M23" i="72"/>
  <c r="P23" i="72" s="1"/>
  <c r="P20" i="72"/>
  <c r="M18" i="72"/>
  <c r="P18" i="72" s="1"/>
  <c r="P17" i="72"/>
  <c r="M17" i="72"/>
  <c r="M16" i="72"/>
  <c r="P16" i="72" s="1"/>
  <c r="P15" i="72"/>
  <c r="M15" i="72"/>
  <c r="P14" i="72"/>
  <c r="M14" i="72"/>
  <c r="P13" i="72"/>
  <c r="F12" i="72"/>
  <c r="F293" i="72" l="1"/>
  <c r="M251" i="72"/>
  <c r="P251" i="72" s="1"/>
  <c r="P293" i="72" s="1"/>
  <c r="P368" i="72" s="1"/>
  <c r="K293" i="72"/>
  <c r="M214" i="71"/>
  <c r="P214" i="71" s="1"/>
  <c r="M215" i="71"/>
  <c r="P215" i="71"/>
  <c r="M216" i="71"/>
  <c r="P216" i="71" s="1"/>
  <c r="M150" i="71"/>
  <c r="P150" i="71" s="1"/>
  <c r="M52" i="71"/>
  <c r="P52" i="71" s="1"/>
  <c r="M53" i="71"/>
  <c r="P53" i="71" s="1"/>
  <c r="M297" i="71"/>
  <c r="P297" i="71"/>
  <c r="M296" i="71"/>
  <c r="P296" i="71"/>
  <c r="M295" i="71"/>
  <c r="P295" i="71"/>
  <c r="M294" i="71"/>
  <c r="P294" i="71"/>
  <c r="M293" i="71"/>
  <c r="P293" i="71"/>
  <c r="N374" i="71"/>
  <c r="P374" i="71" s="1"/>
  <c r="M374" i="71"/>
  <c r="P370" i="71"/>
  <c r="M370" i="71"/>
  <c r="P369" i="71"/>
  <c r="M369" i="71"/>
  <c r="P368" i="71"/>
  <c r="M368" i="71"/>
  <c r="P367" i="71"/>
  <c r="M367" i="71"/>
  <c r="P366" i="71"/>
  <c r="M366" i="71"/>
  <c r="P364" i="71"/>
  <c r="M364" i="71"/>
  <c r="P362" i="71"/>
  <c r="M362" i="71"/>
  <c r="N360" i="71"/>
  <c r="P360" i="71" s="1"/>
  <c r="N359" i="71"/>
  <c r="P359" i="71" s="1"/>
  <c r="N358" i="71"/>
  <c r="P358" i="71" s="1"/>
  <c r="N357" i="71"/>
  <c r="P357" i="71" s="1"/>
  <c r="M357" i="71"/>
  <c r="N356" i="71"/>
  <c r="P356" i="71" s="1"/>
  <c r="M356" i="71"/>
  <c r="N355" i="71"/>
  <c r="P355" i="71" s="1"/>
  <c r="M355" i="71"/>
  <c r="N354" i="71"/>
  <c r="P354" i="71" s="1"/>
  <c r="M354" i="71"/>
  <c r="N353" i="71"/>
  <c r="P353" i="71" s="1"/>
  <c r="M353" i="71"/>
  <c r="N352" i="71"/>
  <c r="P352" i="71" s="1"/>
  <c r="M352" i="71"/>
  <c r="N351" i="71"/>
  <c r="P351" i="71" s="1"/>
  <c r="M351" i="71"/>
  <c r="N350" i="71"/>
  <c r="P350" i="71" s="1"/>
  <c r="M350" i="71"/>
  <c r="N349" i="71"/>
  <c r="P349" i="71" s="1"/>
  <c r="M349" i="71"/>
  <c r="N348" i="71"/>
  <c r="P348" i="71" s="1"/>
  <c r="M348" i="71"/>
  <c r="N347" i="71"/>
  <c r="P347" i="71" s="1"/>
  <c r="M347" i="71"/>
  <c r="N346" i="71"/>
  <c r="P346" i="71" s="1"/>
  <c r="M346" i="71"/>
  <c r="N345" i="71"/>
  <c r="P345" i="71" s="1"/>
  <c r="M345" i="71"/>
  <c r="N344" i="71"/>
  <c r="P344" i="71" s="1"/>
  <c r="M344" i="71"/>
  <c r="N343" i="71"/>
  <c r="P343" i="71" s="1"/>
  <c r="M343" i="71"/>
  <c r="N342" i="71"/>
  <c r="P342" i="71" s="1"/>
  <c r="M342" i="71"/>
  <c r="N341" i="71"/>
  <c r="P341" i="71" s="1"/>
  <c r="M341" i="71"/>
  <c r="N340" i="71"/>
  <c r="P340" i="71" s="1"/>
  <c r="M340" i="71"/>
  <c r="N339" i="71"/>
  <c r="P339" i="71" s="1"/>
  <c r="M339" i="71"/>
  <c r="N338" i="71"/>
  <c r="P338" i="71" s="1"/>
  <c r="M338" i="71"/>
  <c r="N337" i="71"/>
  <c r="P337" i="71" s="1"/>
  <c r="M337" i="71"/>
  <c r="N335" i="71"/>
  <c r="P335" i="71" s="1"/>
  <c r="M335" i="71"/>
  <c r="P334" i="71"/>
  <c r="M334" i="71"/>
  <c r="N332" i="71"/>
  <c r="P332" i="71" s="1"/>
  <c r="M332" i="71"/>
  <c r="P331" i="71"/>
  <c r="M331" i="71"/>
  <c r="N329" i="71"/>
  <c r="P329" i="71" s="1"/>
  <c r="M329" i="71"/>
  <c r="N327" i="71"/>
  <c r="P327" i="71" s="1"/>
  <c r="M327" i="71"/>
  <c r="P326" i="71"/>
  <c r="M326" i="71"/>
  <c r="N324" i="71"/>
  <c r="P324" i="71" s="1"/>
  <c r="M324" i="71"/>
  <c r="M320" i="71"/>
  <c r="P319" i="71"/>
  <c r="M319" i="71"/>
  <c r="N317" i="71"/>
  <c r="P317" i="71" s="1"/>
  <c r="M317" i="71"/>
  <c r="N315" i="71"/>
  <c r="P315" i="71" s="1"/>
  <c r="P313" i="71"/>
  <c r="N311" i="71"/>
  <c r="P311" i="71" s="1"/>
  <c r="M311" i="71"/>
  <c r="N309" i="71"/>
  <c r="P309" i="71" s="1"/>
  <c r="M309" i="71"/>
  <c r="N307" i="71"/>
  <c r="P307" i="71" s="1"/>
  <c r="M307" i="71"/>
  <c r="N306" i="71"/>
  <c r="P306" i="71" s="1"/>
  <c r="M306" i="71"/>
  <c r="P300" i="71"/>
  <c r="M300" i="71"/>
  <c r="P299" i="71"/>
  <c r="M299" i="71"/>
  <c r="P298" i="71"/>
  <c r="M298" i="71"/>
  <c r="P292" i="71"/>
  <c r="M292" i="71"/>
  <c r="P291" i="71"/>
  <c r="M291" i="71"/>
  <c r="P290" i="71"/>
  <c r="M290" i="71"/>
  <c r="P289" i="71"/>
  <c r="M289" i="71"/>
  <c r="P288" i="71"/>
  <c r="M288" i="71"/>
  <c r="P287" i="71"/>
  <c r="M287" i="71"/>
  <c r="P286" i="71"/>
  <c r="M286" i="71"/>
  <c r="P285" i="71"/>
  <c r="M285" i="71"/>
  <c r="P284" i="71"/>
  <c r="M284" i="71"/>
  <c r="P283" i="71"/>
  <c r="M283" i="71"/>
  <c r="P280" i="71"/>
  <c r="M280" i="71"/>
  <c r="P279" i="71"/>
  <c r="M279" i="71"/>
  <c r="P278" i="71"/>
  <c r="M278" i="71"/>
  <c r="P277" i="71"/>
  <c r="M277" i="71"/>
  <c r="M268" i="71"/>
  <c r="P268" i="71" s="1"/>
  <c r="M267" i="71"/>
  <c r="P267" i="71" s="1"/>
  <c r="M263" i="71"/>
  <c r="P263" i="71" s="1"/>
  <c r="M262" i="71"/>
  <c r="P262" i="71" s="1"/>
  <c r="M261" i="71"/>
  <c r="P261" i="71" s="1"/>
  <c r="M259" i="71"/>
  <c r="P259" i="71" s="1"/>
  <c r="M257" i="71"/>
  <c r="P257" i="71" s="1"/>
  <c r="M255" i="71"/>
  <c r="P255" i="71" s="1"/>
  <c r="M254" i="71"/>
  <c r="P254" i="71" s="1"/>
  <c r="M253" i="71"/>
  <c r="P253" i="71" s="1"/>
  <c r="M252" i="71"/>
  <c r="P252" i="71" s="1"/>
  <c r="M251" i="71"/>
  <c r="P251" i="71" s="1"/>
  <c r="P250" i="71"/>
  <c r="P247" i="71"/>
  <c r="P246" i="71"/>
  <c r="M246" i="71"/>
  <c r="P245" i="71"/>
  <c r="M245" i="71"/>
  <c r="F243" i="71"/>
  <c r="P242" i="71"/>
  <c r="P240" i="71"/>
  <c r="F239" i="71"/>
  <c r="P238" i="71"/>
  <c r="M236" i="71"/>
  <c r="P236" i="71" s="1"/>
  <c r="M235" i="71"/>
  <c r="P235" i="71" s="1"/>
  <c r="M233" i="71"/>
  <c r="P233" i="71" s="1"/>
  <c r="M232" i="71"/>
  <c r="P232" i="71" s="1"/>
  <c r="M231" i="71"/>
  <c r="P231" i="71" s="1"/>
  <c r="M230" i="71"/>
  <c r="P230" i="71" s="1"/>
  <c r="M228" i="71"/>
  <c r="P228" i="71" s="1"/>
  <c r="M227" i="71"/>
  <c r="P227" i="71" s="1"/>
  <c r="P226" i="71"/>
  <c r="M225" i="71"/>
  <c r="P225" i="71" s="1"/>
  <c r="F224" i="71"/>
  <c r="M222" i="71"/>
  <c r="P222" i="71" s="1"/>
  <c r="M221" i="71"/>
  <c r="P221" i="71" s="1"/>
  <c r="M219" i="71"/>
  <c r="P219" i="71" s="1"/>
  <c r="M217" i="71"/>
  <c r="P217" i="71" s="1"/>
  <c r="M213" i="71"/>
  <c r="P213" i="71" s="1"/>
  <c r="M212" i="71"/>
  <c r="P212" i="71" s="1"/>
  <c r="M211" i="71"/>
  <c r="P211" i="71" s="1"/>
  <c r="M210" i="71"/>
  <c r="P210" i="71" s="1"/>
  <c r="M209" i="71"/>
  <c r="P209" i="71" s="1"/>
  <c r="M208" i="71"/>
  <c r="P208" i="71" s="1"/>
  <c r="M207" i="71"/>
  <c r="P207" i="71" s="1"/>
  <c r="M206" i="71"/>
  <c r="P206" i="71" s="1"/>
  <c r="M205" i="71"/>
  <c r="P205" i="71" s="1"/>
  <c r="M204" i="71"/>
  <c r="P204" i="71" s="1"/>
  <c r="M203" i="71"/>
  <c r="P203" i="71" s="1"/>
  <c r="M202" i="71"/>
  <c r="P202" i="71" s="1"/>
  <c r="M201" i="71"/>
  <c r="P201" i="71" s="1"/>
  <c r="M200" i="71"/>
  <c r="P200" i="71" s="1"/>
  <c r="M199" i="71"/>
  <c r="P199" i="71" s="1"/>
  <c r="M198" i="71"/>
  <c r="P198" i="71" s="1"/>
  <c r="M197" i="71"/>
  <c r="P197" i="71" s="1"/>
  <c r="M196" i="71"/>
  <c r="P196" i="71" s="1"/>
  <c r="M195" i="71"/>
  <c r="P195" i="71" s="1"/>
  <c r="M194" i="71"/>
  <c r="P194" i="71" s="1"/>
  <c r="M193" i="71"/>
  <c r="P193" i="71" s="1"/>
  <c r="M192" i="71"/>
  <c r="P192" i="71" s="1"/>
  <c r="K191" i="71"/>
  <c r="M191" i="71" s="1"/>
  <c r="P191" i="71" s="1"/>
  <c r="M190" i="71"/>
  <c r="P190" i="71" s="1"/>
  <c r="M189" i="71"/>
  <c r="P189" i="71" s="1"/>
  <c r="M188" i="71"/>
  <c r="P188" i="71" s="1"/>
  <c r="M187" i="71"/>
  <c r="P187" i="71" s="1"/>
  <c r="M186" i="71"/>
  <c r="P186" i="71" s="1"/>
  <c r="M185" i="71"/>
  <c r="P185" i="71" s="1"/>
  <c r="M184" i="71"/>
  <c r="P184" i="71" s="1"/>
  <c r="M183" i="71"/>
  <c r="P183" i="71" s="1"/>
  <c r="M182" i="71"/>
  <c r="P182" i="71" s="1"/>
  <c r="M181" i="71"/>
  <c r="P181" i="71" s="1"/>
  <c r="M180" i="71"/>
  <c r="P180" i="71" s="1"/>
  <c r="M179" i="71"/>
  <c r="P179" i="71" s="1"/>
  <c r="M178" i="71"/>
  <c r="P178" i="71" s="1"/>
  <c r="M177" i="71"/>
  <c r="P177" i="71" s="1"/>
  <c r="M176" i="71"/>
  <c r="P176" i="71" s="1"/>
  <c r="M175" i="71"/>
  <c r="P175" i="71" s="1"/>
  <c r="M174" i="71"/>
  <c r="P174" i="71" s="1"/>
  <c r="M173" i="71"/>
  <c r="P173" i="71" s="1"/>
  <c r="M172" i="71"/>
  <c r="P172" i="71" s="1"/>
  <c r="M171" i="71"/>
  <c r="P171" i="71" s="1"/>
  <c r="M170" i="71"/>
  <c r="P170" i="71" s="1"/>
  <c r="M169" i="71"/>
  <c r="P169" i="71" s="1"/>
  <c r="M168" i="71"/>
  <c r="P168" i="71" s="1"/>
  <c r="M167" i="71"/>
  <c r="P167" i="71" s="1"/>
  <c r="M166" i="71"/>
  <c r="P166" i="71" s="1"/>
  <c r="M165" i="71"/>
  <c r="P165" i="71" s="1"/>
  <c r="M164" i="71"/>
  <c r="P164" i="71" s="1"/>
  <c r="M163" i="71"/>
  <c r="P163" i="71" s="1"/>
  <c r="M162" i="71"/>
  <c r="P162" i="71" s="1"/>
  <c r="M161" i="71"/>
  <c r="P161" i="71" s="1"/>
  <c r="M160" i="71"/>
  <c r="P160" i="71" s="1"/>
  <c r="M159" i="71"/>
  <c r="P159" i="71" s="1"/>
  <c r="M158" i="71"/>
  <c r="P158" i="71" s="1"/>
  <c r="M157" i="71"/>
  <c r="P157" i="71" s="1"/>
  <c r="M156" i="71"/>
  <c r="P156" i="71" s="1"/>
  <c r="M155" i="71"/>
  <c r="P155" i="71" s="1"/>
  <c r="M154" i="71"/>
  <c r="P154" i="71" s="1"/>
  <c r="M153" i="71"/>
  <c r="P153" i="71" s="1"/>
  <c r="K152" i="71"/>
  <c r="M152" i="71" s="1"/>
  <c r="P152" i="71" s="1"/>
  <c r="M151" i="71"/>
  <c r="P151" i="71" s="1"/>
  <c r="M149" i="71"/>
  <c r="P149" i="71" s="1"/>
  <c r="M148" i="71"/>
  <c r="P148" i="71" s="1"/>
  <c r="M147" i="71"/>
  <c r="P147" i="71" s="1"/>
  <c r="M146" i="71"/>
  <c r="P146" i="71" s="1"/>
  <c r="M145" i="71"/>
  <c r="P145" i="71" s="1"/>
  <c r="M144" i="71"/>
  <c r="P144" i="71" s="1"/>
  <c r="M143" i="71"/>
  <c r="P143" i="71" s="1"/>
  <c r="M142" i="71"/>
  <c r="P142" i="71" s="1"/>
  <c r="M141" i="71"/>
  <c r="P141" i="71" s="1"/>
  <c r="M140" i="71"/>
  <c r="P140" i="71" s="1"/>
  <c r="M139" i="71"/>
  <c r="P139" i="71" s="1"/>
  <c r="M138" i="71"/>
  <c r="P138" i="71" s="1"/>
  <c r="M137" i="71"/>
  <c r="P137" i="71" s="1"/>
  <c r="P136" i="71"/>
  <c r="M135" i="71"/>
  <c r="P135" i="71" s="1"/>
  <c r="M134" i="71"/>
  <c r="P134" i="71" s="1"/>
  <c r="M133" i="71"/>
  <c r="P133" i="71" s="1"/>
  <c r="M132" i="71"/>
  <c r="P132" i="71" s="1"/>
  <c r="M131" i="71"/>
  <c r="P131" i="71" s="1"/>
  <c r="M130" i="71"/>
  <c r="P130" i="71" s="1"/>
  <c r="M129" i="71"/>
  <c r="P129" i="71" s="1"/>
  <c r="M128" i="71"/>
  <c r="P128" i="71" s="1"/>
  <c r="M127" i="71"/>
  <c r="P127" i="71" s="1"/>
  <c r="F126" i="71"/>
  <c r="M125" i="71"/>
  <c r="P125" i="71" s="1"/>
  <c r="M124" i="71"/>
  <c r="P124" i="71" s="1"/>
  <c r="M119" i="71"/>
  <c r="P119" i="71" s="1"/>
  <c r="M118" i="71"/>
  <c r="P118" i="71" s="1"/>
  <c r="M117" i="71"/>
  <c r="P117" i="71" s="1"/>
  <c r="M116" i="71"/>
  <c r="P116" i="71" s="1"/>
  <c r="M115" i="71"/>
  <c r="P115" i="71" s="1"/>
  <c r="M114" i="71"/>
  <c r="P114" i="71" s="1"/>
  <c r="M113" i="71"/>
  <c r="P113" i="71" s="1"/>
  <c r="M112" i="71"/>
  <c r="P112" i="71" s="1"/>
  <c r="M111" i="71"/>
  <c r="P111" i="71" s="1"/>
  <c r="M110" i="71"/>
  <c r="P110" i="71" s="1"/>
  <c r="M109" i="71"/>
  <c r="P109" i="71" s="1"/>
  <c r="M108" i="71"/>
  <c r="P108" i="71" s="1"/>
  <c r="M107" i="71"/>
  <c r="P107" i="71" s="1"/>
  <c r="M106" i="71"/>
  <c r="P106" i="71" s="1"/>
  <c r="M105" i="71"/>
  <c r="P105" i="71" s="1"/>
  <c r="M104" i="71"/>
  <c r="P104" i="71" s="1"/>
  <c r="M103" i="71"/>
  <c r="P103" i="71" s="1"/>
  <c r="M102" i="71"/>
  <c r="P102" i="71" s="1"/>
  <c r="M101" i="71"/>
  <c r="P101" i="71" s="1"/>
  <c r="M100" i="71"/>
  <c r="P100" i="71" s="1"/>
  <c r="M99" i="71"/>
  <c r="P99" i="71" s="1"/>
  <c r="M98" i="71"/>
  <c r="P98" i="71" s="1"/>
  <c r="M97" i="71"/>
  <c r="P97" i="71" s="1"/>
  <c r="M96" i="71"/>
  <c r="P96" i="71" s="1"/>
  <c r="M95" i="71"/>
  <c r="P95" i="71" s="1"/>
  <c r="F94" i="71"/>
  <c r="P93" i="71"/>
  <c r="P92" i="71"/>
  <c r="M90" i="71"/>
  <c r="P90" i="71" s="1"/>
  <c r="M89" i="71"/>
  <c r="P89" i="71" s="1"/>
  <c r="M88" i="71"/>
  <c r="P88" i="71" s="1"/>
  <c r="M86" i="71"/>
  <c r="P86" i="71" s="1"/>
  <c r="M84" i="71"/>
  <c r="P84" i="71" s="1"/>
  <c r="M83" i="71"/>
  <c r="P83" i="71" s="1"/>
  <c r="M81" i="71"/>
  <c r="P81" i="71" s="1"/>
  <c r="M80" i="71"/>
  <c r="P80" i="71" s="1"/>
  <c r="M79" i="71"/>
  <c r="P79" i="71" s="1"/>
  <c r="M78" i="71"/>
  <c r="P78" i="71" s="1"/>
  <c r="M76" i="71"/>
  <c r="P76" i="71" s="1"/>
  <c r="M75" i="71"/>
  <c r="P75" i="71" s="1"/>
  <c r="P74" i="71"/>
  <c r="M73" i="71"/>
  <c r="P73" i="71" s="1"/>
  <c r="M72" i="71"/>
  <c r="P72" i="71" s="1"/>
  <c r="M71" i="71"/>
  <c r="P71" i="71" s="1"/>
  <c r="M70" i="71"/>
  <c r="P70" i="71" s="1"/>
  <c r="M69" i="71"/>
  <c r="P69" i="71" s="1"/>
  <c r="P68" i="71"/>
  <c r="M68" i="71"/>
  <c r="M66" i="71"/>
  <c r="P66" i="71" s="1"/>
  <c r="M65" i="71"/>
  <c r="P65" i="71" s="1"/>
  <c r="M64" i="71"/>
  <c r="P64" i="71" s="1"/>
  <c r="M63" i="71"/>
  <c r="P63" i="71" s="1"/>
  <c r="M62" i="71"/>
  <c r="P62" i="71" s="1"/>
  <c r="M61" i="71"/>
  <c r="P61" i="71" s="1"/>
  <c r="M60" i="71"/>
  <c r="P60" i="71" s="1"/>
  <c r="M59" i="71"/>
  <c r="P59" i="71" s="1"/>
  <c r="M58" i="71"/>
  <c r="P58" i="71" s="1"/>
  <c r="M57" i="71"/>
  <c r="P57" i="71" s="1"/>
  <c r="M56" i="71"/>
  <c r="P56" i="71" s="1"/>
  <c r="M55" i="71"/>
  <c r="P55" i="71" s="1"/>
  <c r="M54" i="71"/>
  <c r="P54" i="71" s="1"/>
  <c r="M51" i="71"/>
  <c r="P51" i="71" s="1"/>
  <c r="M50" i="71"/>
  <c r="P50" i="71" s="1"/>
  <c r="M49" i="71"/>
  <c r="P49" i="71" s="1"/>
  <c r="M48" i="71"/>
  <c r="P48" i="71" s="1"/>
  <c r="P47" i="71"/>
  <c r="P46" i="71"/>
  <c r="P45" i="71"/>
  <c r="M44" i="71"/>
  <c r="P44" i="71" s="1"/>
  <c r="M43" i="71"/>
  <c r="P43" i="71" s="1"/>
  <c r="M42" i="71"/>
  <c r="P42" i="71" s="1"/>
  <c r="M41" i="71"/>
  <c r="P41" i="71" s="1"/>
  <c r="M40" i="71"/>
  <c r="P40" i="71" s="1"/>
  <c r="M39" i="71"/>
  <c r="P39" i="71" s="1"/>
  <c r="M38" i="71"/>
  <c r="P38" i="71" s="1"/>
  <c r="M37" i="71"/>
  <c r="P37" i="71" s="1"/>
  <c r="M36" i="71"/>
  <c r="P36" i="71" s="1"/>
  <c r="M35" i="71"/>
  <c r="P35" i="71" s="1"/>
  <c r="M34" i="71"/>
  <c r="P34" i="71" s="1"/>
  <c r="M33" i="71"/>
  <c r="P33" i="71" s="1"/>
  <c r="M32" i="71"/>
  <c r="P32" i="71" s="1"/>
  <c r="M31" i="71"/>
  <c r="P31" i="71" s="1"/>
  <c r="M30" i="71"/>
  <c r="P30" i="71" s="1"/>
  <c r="M26" i="71"/>
  <c r="P26" i="71" s="1"/>
  <c r="M25" i="71"/>
  <c r="P25" i="71" s="1"/>
  <c r="M23" i="71"/>
  <c r="P23" i="71" s="1"/>
  <c r="N302" i="71"/>
  <c r="N377" i="71" s="1"/>
  <c r="P20" i="71"/>
  <c r="M19" i="71"/>
  <c r="P19" i="71" s="1"/>
  <c r="P18" i="71"/>
  <c r="M18" i="71"/>
  <c r="M17" i="71"/>
  <c r="P17" i="71" s="1"/>
  <c r="M16" i="71"/>
  <c r="P16" i="71" s="1"/>
  <c r="P15" i="71"/>
  <c r="M15" i="71"/>
  <c r="P14" i="71"/>
  <c r="M14" i="71"/>
  <c r="P13" i="71"/>
  <c r="F12" i="71"/>
  <c r="M122" i="70"/>
  <c r="P122" i="70" s="1"/>
  <c r="M123" i="70"/>
  <c r="P123" i="70"/>
  <c r="M124" i="70"/>
  <c r="P124" i="70" s="1"/>
  <c r="M125" i="70"/>
  <c r="P125" i="70"/>
  <c r="M126" i="70"/>
  <c r="P126" i="70" s="1"/>
  <c r="M111" i="70"/>
  <c r="P111" i="70" s="1"/>
  <c r="M112" i="70"/>
  <c r="P112" i="70"/>
  <c r="M113" i="70"/>
  <c r="P113" i="70" s="1"/>
  <c r="M114" i="70"/>
  <c r="P114" i="70" s="1"/>
  <c r="M115" i="70"/>
  <c r="P115" i="70" s="1"/>
  <c r="M116" i="70"/>
  <c r="P116" i="70" s="1"/>
  <c r="M117" i="70"/>
  <c r="P117" i="70" s="1"/>
  <c r="M118" i="70"/>
  <c r="P118" i="70"/>
  <c r="M119" i="70"/>
  <c r="P119" i="70" s="1"/>
  <c r="M120" i="70"/>
  <c r="P120" i="70" s="1"/>
  <c r="M121" i="70"/>
  <c r="P121" i="70" s="1"/>
  <c r="M238" i="70"/>
  <c r="P238" i="70" s="1"/>
  <c r="M239" i="70"/>
  <c r="P239" i="70" s="1"/>
  <c r="M240" i="70"/>
  <c r="P240" i="70" s="1"/>
  <c r="M237" i="70"/>
  <c r="P237" i="70" s="1"/>
  <c r="M86" i="70"/>
  <c r="P86" i="70" s="1"/>
  <c r="M293" i="72" l="1"/>
  <c r="M368" i="72" s="1"/>
  <c r="F302" i="71"/>
  <c r="P302" i="71"/>
  <c r="P377" i="71" s="1"/>
  <c r="K302" i="71"/>
  <c r="M302" i="71"/>
  <c r="M377" i="71" s="1"/>
  <c r="N142" i="70"/>
  <c r="M309" i="70"/>
  <c r="P309" i="70"/>
  <c r="M228" i="70" l="1"/>
  <c r="P228" i="70" s="1"/>
  <c r="M227" i="70"/>
  <c r="P227" i="70" s="1"/>
  <c r="M222" i="70" l="1"/>
  <c r="P222" i="70" s="1"/>
  <c r="N24" i="70"/>
  <c r="P308" i="70" l="1"/>
  <c r="M308" i="70"/>
  <c r="N19" i="70" l="1"/>
  <c r="M21" i="70"/>
  <c r="P21" i="70" s="1"/>
  <c r="M109" i="70"/>
  <c r="P109" i="70" s="1"/>
  <c r="M104" i="70"/>
  <c r="P104" i="70" s="1"/>
  <c r="M57" i="70" l="1"/>
  <c r="P57" i="70" s="1"/>
  <c r="M58" i="70"/>
  <c r="P58" i="70" s="1"/>
  <c r="M221" i="70"/>
  <c r="P221" i="70" s="1"/>
  <c r="M18" i="70"/>
  <c r="P18" i="70" s="1"/>
  <c r="M234" i="70"/>
  <c r="P234" i="70" s="1"/>
  <c r="M282" i="70"/>
  <c r="P282" i="70" s="1"/>
  <c r="M30" i="70"/>
  <c r="P30" i="70" s="1"/>
  <c r="P53" i="70"/>
  <c r="P52" i="70"/>
  <c r="P51" i="70"/>
  <c r="P44" i="70"/>
  <c r="P43" i="70"/>
  <c r="P79" i="70"/>
  <c r="P81" i="70"/>
  <c r="P16" i="70"/>
  <c r="M17" i="70"/>
  <c r="P17" i="70" s="1"/>
  <c r="M108" i="70" l="1"/>
  <c r="P108" i="70" s="1"/>
  <c r="P19" i="70"/>
  <c r="M55" i="70"/>
  <c r="P55" i="70" s="1"/>
  <c r="M56" i="70"/>
  <c r="P56" i="70" s="1"/>
  <c r="P258" i="70"/>
  <c r="M29" i="70"/>
  <c r="P29" i="70" s="1"/>
  <c r="M266" i="70"/>
  <c r="P266" i="70" s="1"/>
  <c r="M267" i="70"/>
  <c r="P267" i="70" s="1"/>
  <c r="M264" i="70"/>
  <c r="P264" i="70" s="1"/>
  <c r="M265" i="70"/>
  <c r="P265" i="70" s="1"/>
  <c r="M263" i="70"/>
  <c r="P263" i="70" s="1"/>
  <c r="M219" i="70"/>
  <c r="P219" i="70" s="1"/>
  <c r="M220" i="70"/>
  <c r="P220" i="70" s="1"/>
  <c r="M218" i="70"/>
  <c r="P218" i="70" s="1"/>
  <c r="N386" i="70"/>
  <c r="P386" i="70" s="1"/>
  <c r="M386" i="70"/>
  <c r="P382" i="70"/>
  <c r="M382" i="70"/>
  <c r="P381" i="70"/>
  <c r="M381" i="70"/>
  <c r="P380" i="70"/>
  <c r="M380" i="70"/>
  <c r="P379" i="70"/>
  <c r="M379" i="70"/>
  <c r="P378" i="70"/>
  <c r="M378" i="70"/>
  <c r="P376" i="70"/>
  <c r="M376" i="70"/>
  <c r="P374" i="70"/>
  <c r="M374" i="70"/>
  <c r="N372" i="70"/>
  <c r="P372" i="70" s="1"/>
  <c r="N371" i="70"/>
  <c r="P371" i="70" s="1"/>
  <c r="N370" i="70"/>
  <c r="P370" i="70" s="1"/>
  <c r="N369" i="70"/>
  <c r="P369" i="70" s="1"/>
  <c r="M369" i="70"/>
  <c r="N368" i="70"/>
  <c r="P368" i="70" s="1"/>
  <c r="M368" i="70"/>
  <c r="N367" i="70"/>
  <c r="P367" i="70" s="1"/>
  <c r="M367" i="70"/>
  <c r="N366" i="70"/>
  <c r="P366" i="70" s="1"/>
  <c r="M366" i="70"/>
  <c r="N365" i="70"/>
  <c r="P365" i="70" s="1"/>
  <c r="M365" i="70"/>
  <c r="N364" i="70"/>
  <c r="P364" i="70" s="1"/>
  <c r="M364" i="70"/>
  <c r="N363" i="70"/>
  <c r="P363" i="70" s="1"/>
  <c r="M363" i="70"/>
  <c r="N362" i="70"/>
  <c r="P362" i="70" s="1"/>
  <c r="M362" i="70"/>
  <c r="N361" i="70"/>
  <c r="P361" i="70" s="1"/>
  <c r="M361" i="70"/>
  <c r="N360" i="70"/>
  <c r="P360" i="70" s="1"/>
  <c r="M360" i="70"/>
  <c r="N359" i="70"/>
  <c r="P359" i="70" s="1"/>
  <c r="M359" i="70"/>
  <c r="N358" i="70"/>
  <c r="P358" i="70" s="1"/>
  <c r="M358" i="70"/>
  <c r="N357" i="70"/>
  <c r="P357" i="70" s="1"/>
  <c r="M357" i="70"/>
  <c r="N356" i="70"/>
  <c r="P356" i="70" s="1"/>
  <c r="M356" i="70"/>
  <c r="N355" i="70"/>
  <c r="P355" i="70" s="1"/>
  <c r="M355" i="70"/>
  <c r="N354" i="70"/>
  <c r="P354" i="70" s="1"/>
  <c r="M354" i="70"/>
  <c r="N353" i="70"/>
  <c r="P353" i="70" s="1"/>
  <c r="M353" i="70"/>
  <c r="N352" i="70"/>
  <c r="P352" i="70" s="1"/>
  <c r="M352" i="70"/>
  <c r="N351" i="70"/>
  <c r="P351" i="70" s="1"/>
  <c r="M351" i="70"/>
  <c r="N350" i="70"/>
  <c r="P350" i="70" s="1"/>
  <c r="M350" i="70"/>
  <c r="N349" i="70"/>
  <c r="P349" i="70" s="1"/>
  <c r="M349" i="70"/>
  <c r="N347" i="70"/>
  <c r="P347" i="70" s="1"/>
  <c r="M347" i="70"/>
  <c r="P346" i="70"/>
  <c r="M346" i="70"/>
  <c r="N344" i="70"/>
  <c r="P344" i="70" s="1"/>
  <c r="M344" i="70"/>
  <c r="P343" i="70"/>
  <c r="M343" i="70"/>
  <c r="N341" i="70"/>
  <c r="P341" i="70" s="1"/>
  <c r="M341" i="70"/>
  <c r="N339" i="70"/>
  <c r="P339" i="70" s="1"/>
  <c r="M339" i="70"/>
  <c r="P338" i="70"/>
  <c r="M338" i="70"/>
  <c r="N336" i="70"/>
  <c r="P336" i="70" s="1"/>
  <c r="M336" i="70"/>
  <c r="M332" i="70"/>
  <c r="P331" i="70"/>
  <c r="M331" i="70"/>
  <c r="N329" i="70"/>
  <c r="P329" i="70" s="1"/>
  <c r="M329" i="70"/>
  <c r="N327" i="70"/>
  <c r="P327" i="70" s="1"/>
  <c r="P325" i="70"/>
  <c r="N323" i="70"/>
  <c r="P323" i="70" s="1"/>
  <c r="M323" i="70"/>
  <c r="N321" i="70"/>
  <c r="P321" i="70" s="1"/>
  <c r="M321" i="70"/>
  <c r="N319" i="70"/>
  <c r="P319" i="70" s="1"/>
  <c r="M319" i="70"/>
  <c r="N318" i="70"/>
  <c r="P318" i="70" s="1"/>
  <c r="M318" i="70"/>
  <c r="P312" i="70"/>
  <c r="M312" i="70"/>
  <c r="P311" i="70"/>
  <c r="M311" i="70"/>
  <c r="P310" i="70"/>
  <c r="M310" i="70"/>
  <c r="P307" i="70"/>
  <c r="M307" i="70"/>
  <c r="P306" i="70"/>
  <c r="M306" i="70"/>
  <c r="P305" i="70"/>
  <c r="M305" i="70"/>
  <c r="P304" i="70"/>
  <c r="M304" i="70"/>
  <c r="P303" i="70"/>
  <c r="M303" i="70"/>
  <c r="P302" i="70"/>
  <c r="M302" i="70"/>
  <c r="P301" i="70"/>
  <c r="M301" i="70"/>
  <c r="P300" i="70"/>
  <c r="M300" i="70"/>
  <c r="P299" i="70"/>
  <c r="M299" i="70"/>
  <c r="P296" i="70"/>
  <c r="M296" i="70"/>
  <c r="P295" i="70"/>
  <c r="M295" i="70"/>
  <c r="P294" i="70"/>
  <c r="M294" i="70"/>
  <c r="P293" i="70"/>
  <c r="M293" i="70"/>
  <c r="P290" i="70"/>
  <c r="M290" i="70"/>
  <c r="M285" i="70"/>
  <c r="M283" i="70"/>
  <c r="P283" i="70" s="1"/>
  <c r="M281" i="70"/>
  <c r="P281" i="70" s="1"/>
  <c r="M280" i="70"/>
  <c r="P280" i="70" s="1"/>
  <c r="P278" i="70"/>
  <c r="M276" i="70"/>
  <c r="P276" i="70" s="1"/>
  <c r="M275" i="70"/>
  <c r="P275" i="70" s="1"/>
  <c r="M274" i="70"/>
  <c r="P274" i="70" s="1"/>
  <c r="M272" i="70"/>
  <c r="P272" i="70" s="1"/>
  <c r="M270" i="70"/>
  <c r="P270" i="70" s="1"/>
  <c r="M269" i="70"/>
  <c r="P269" i="70" s="1"/>
  <c r="P261" i="70"/>
  <c r="M261" i="70"/>
  <c r="P259" i="70"/>
  <c r="P257" i="70"/>
  <c r="M257" i="70"/>
  <c r="P255" i="70"/>
  <c r="P254" i="70"/>
  <c r="M254" i="70"/>
  <c r="P253" i="70"/>
  <c r="M253" i="70"/>
  <c r="P262" i="70"/>
  <c r="F251" i="70"/>
  <c r="P250" i="70"/>
  <c r="P248" i="70"/>
  <c r="F247" i="70"/>
  <c r="P246" i="70"/>
  <c r="M244" i="70"/>
  <c r="P244" i="70" s="1"/>
  <c r="M243" i="70"/>
  <c r="P243" i="70" s="1"/>
  <c r="M242" i="70"/>
  <c r="P242" i="70" s="1"/>
  <c r="M235" i="70"/>
  <c r="P235" i="70" s="1"/>
  <c r="M233" i="70"/>
  <c r="P233" i="70" s="1"/>
  <c r="M232" i="70"/>
  <c r="P232" i="70" s="1"/>
  <c r="M231" i="70"/>
  <c r="P231" i="70" s="1"/>
  <c r="F230" i="70"/>
  <c r="M225" i="70"/>
  <c r="P225" i="70" s="1"/>
  <c r="M223" i="70"/>
  <c r="P223" i="70" s="1"/>
  <c r="M217" i="70"/>
  <c r="P217" i="70" s="1"/>
  <c r="M216" i="70"/>
  <c r="P216" i="70" s="1"/>
  <c r="M215" i="70"/>
  <c r="P215" i="70" s="1"/>
  <c r="M214" i="70"/>
  <c r="P214" i="70" s="1"/>
  <c r="M213" i="70"/>
  <c r="P213" i="70" s="1"/>
  <c r="M212" i="70"/>
  <c r="P212" i="70" s="1"/>
  <c r="M211" i="70"/>
  <c r="P211" i="70" s="1"/>
  <c r="M210" i="70"/>
  <c r="P210" i="70" s="1"/>
  <c r="M209" i="70"/>
  <c r="P209" i="70" s="1"/>
  <c r="M208" i="70"/>
  <c r="P208" i="70" s="1"/>
  <c r="M207" i="70"/>
  <c r="P207" i="70" s="1"/>
  <c r="M206" i="70"/>
  <c r="P206" i="70" s="1"/>
  <c r="M205" i="70"/>
  <c r="P205" i="70" s="1"/>
  <c r="M204" i="70"/>
  <c r="P204" i="70" s="1"/>
  <c r="M203" i="70"/>
  <c r="P203" i="70" s="1"/>
  <c r="M202" i="70"/>
  <c r="P202" i="70" s="1"/>
  <c r="M201" i="70"/>
  <c r="P201" i="70" s="1"/>
  <c r="M200" i="70"/>
  <c r="P200" i="70" s="1"/>
  <c r="K199" i="70"/>
  <c r="M199" i="70" s="1"/>
  <c r="P199" i="70" s="1"/>
  <c r="M198" i="70"/>
  <c r="P198" i="70" s="1"/>
  <c r="M197" i="70"/>
  <c r="P197" i="70" s="1"/>
  <c r="M196" i="70"/>
  <c r="P196" i="70" s="1"/>
  <c r="M195" i="70"/>
  <c r="P195" i="70" s="1"/>
  <c r="M194" i="70"/>
  <c r="P194" i="70" s="1"/>
  <c r="M193" i="70"/>
  <c r="P193" i="70" s="1"/>
  <c r="M192" i="70"/>
  <c r="P192" i="70" s="1"/>
  <c r="M191" i="70"/>
  <c r="P191" i="70" s="1"/>
  <c r="M190" i="70"/>
  <c r="P190" i="70" s="1"/>
  <c r="M189" i="70"/>
  <c r="P189" i="70" s="1"/>
  <c r="M188" i="70"/>
  <c r="P188" i="70" s="1"/>
  <c r="M187" i="70"/>
  <c r="P187" i="70" s="1"/>
  <c r="M186" i="70"/>
  <c r="P186" i="70" s="1"/>
  <c r="M185" i="70"/>
  <c r="P185" i="70" s="1"/>
  <c r="M184" i="70"/>
  <c r="P184" i="70" s="1"/>
  <c r="M183" i="70"/>
  <c r="P183" i="70" s="1"/>
  <c r="M182" i="70"/>
  <c r="P182" i="70" s="1"/>
  <c r="M181" i="70"/>
  <c r="P181" i="70" s="1"/>
  <c r="M180" i="70"/>
  <c r="P180" i="70" s="1"/>
  <c r="M179" i="70"/>
  <c r="P179" i="70" s="1"/>
  <c r="M178" i="70"/>
  <c r="P178" i="70" s="1"/>
  <c r="M177" i="70"/>
  <c r="P177" i="70" s="1"/>
  <c r="M176" i="70"/>
  <c r="P176" i="70" s="1"/>
  <c r="M175" i="70"/>
  <c r="P175" i="70" s="1"/>
  <c r="M174" i="70"/>
  <c r="P174" i="70" s="1"/>
  <c r="M173" i="70"/>
  <c r="P173" i="70" s="1"/>
  <c r="M172" i="70"/>
  <c r="P172" i="70" s="1"/>
  <c r="M171" i="70"/>
  <c r="P171" i="70" s="1"/>
  <c r="M170" i="70"/>
  <c r="P170" i="70" s="1"/>
  <c r="M169" i="70"/>
  <c r="P169" i="70" s="1"/>
  <c r="M168" i="70"/>
  <c r="P168" i="70" s="1"/>
  <c r="M167" i="70"/>
  <c r="P167" i="70" s="1"/>
  <c r="M166" i="70"/>
  <c r="P166" i="70" s="1"/>
  <c r="M165" i="70"/>
  <c r="P165" i="70" s="1"/>
  <c r="M164" i="70"/>
  <c r="P164" i="70" s="1"/>
  <c r="M163" i="70"/>
  <c r="P163" i="70" s="1"/>
  <c r="M162" i="70"/>
  <c r="P162" i="70" s="1"/>
  <c r="M161" i="70"/>
  <c r="P161" i="70" s="1"/>
  <c r="K160" i="70"/>
  <c r="M159" i="70"/>
  <c r="P159" i="70" s="1"/>
  <c r="M158" i="70"/>
  <c r="P158" i="70" s="1"/>
  <c r="M157" i="70"/>
  <c r="P157" i="70" s="1"/>
  <c r="M156" i="70"/>
  <c r="P156" i="70" s="1"/>
  <c r="M155" i="70"/>
  <c r="P155" i="70" s="1"/>
  <c r="M154" i="70"/>
  <c r="P154" i="70" s="1"/>
  <c r="M153" i="70"/>
  <c r="P153" i="70" s="1"/>
  <c r="M152" i="70"/>
  <c r="P152" i="70" s="1"/>
  <c r="M151" i="70"/>
  <c r="P151" i="70" s="1"/>
  <c r="M150" i="70"/>
  <c r="P150" i="70" s="1"/>
  <c r="M149" i="70"/>
  <c r="P149" i="70" s="1"/>
  <c r="M148" i="70"/>
  <c r="P148" i="70" s="1"/>
  <c r="M147" i="70"/>
  <c r="P147" i="70" s="1"/>
  <c r="M146" i="70"/>
  <c r="P146" i="70" s="1"/>
  <c r="M145" i="70"/>
  <c r="P145" i="70" s="1"/>
  <c r="M144" i="70"/>
  <c r="P144" i="70" s="1"/>
  <c r="M143" i="70"/>
  <c r="P143" i="70" s="1"/>
  <c r="M142" i="70"/>
  <c r="P142" i="70" s="1"/>
  <c r="M141" i="70"/>
  <c r="P141" i="70" s="1"/>
  <c r="M140" i="70"/>
  <c r="P140" i="70" s="1"/>
  <c r="M139" i="70"/>
  <c r="P139" i="70" s="1"/>
  <c r="M138" i="70"/>
  <c r="P138" i="70" s="1"/>
  <c r="M137" i="70"/>
  <c r="P137" i="70" s="1"/>
  <c r="M136" i="70"/>
  <c r="P136" i="70" s="1"/>
  <c r="M135" i="70"/>
  <c r="P135" i="70" s="1"/>
  <c r="F134" i="70"/>
  <c r="M133" i="70"/>
  <c r="P133" i="70" s="1"/>
  <c r="M132" i="70"/>
  <c r="P132" i="70" s="1"/>
  <c r="M110" i="70"/>
  <c r="P110" i="70" s="1"/>
  <c r="M107" i="70"/>
  <c r="P107" i="70" s="1"/>
  <c r="M106" i="70"/>
  <c r="P106" i="70" s="1"/>
  <c r="M105" i="70"/>
  <c r="P105" i="70" s="1"/>
  <c r="M103" i="70"/>
  <c r="P103" i="70" s="1"/>
  <c r="M102" i="70"/>
  <c r="P102" i="70" s="1"/>
  <c r="M101" i="70"/>
  <c r="P101" i="70" s="1"/>
  <c r="F100" i="70"/>
  <c r="P99" i="70"/>
  <c r="P98" i="70"/>
  <c r="M96" i="70"/>
  <c r="P96" i="70" s="1"/>
  <c r="M95" i="70"/>
  <c r="P95" i="70" s="1"/>
  <c r="M94" i="70"/>
  <c r="P94" i="70" s="1"/>
  <c r="M92" i="70"/>
  <c r="P92" i="70" s="1"/>
  <c r="M90" i="70"/>
  <c r="P90" i="70" s="1"/>
  <c r="M89" i="70"/>
  <c r="P89" i="70" s="1"/>
  <c r="M87" i="70"/>
  <c r="P87" i="70" s="1"/>
  <c r="M85" i="70"/>
  <c r="P85" i="70" s="1"/>
  <c r="M84" i="70"/>
  <c r="P84" i="70" s="1"/>
  <c r="M82" i="70"/>
  <c r="P82" i="70" s="1"/>
  <c r="M80" i="70"/>
  <c r="P80" i="70" s="1"/>
  <c r="M78" i="70"/>
  <c r="P78" i="70" s="1"/>
  <c r="M77" i="70"/>
  <c r="P77" i="70" s="1"/>
  <c r="M76" i="70"/>
  <c r="P76" i="70" s="1"/>
  <c r="M75" i="70"/>
  <c r="P75" i="70" s="1"/>
  <c r="M74" i="70"/>
  <c r="P74" i="70" s="1"/>
  <c r="P73" i="70"/>
  <c r="M73" i="70"/>
  <c r="M71" i="70"/>
  <c r="P71" i="70" s="1"/>
  <c r="M70" i="70"/>
  <c r="P70" i="70" s="1"/>
  <c r="M69" i="70"/>
  <c r="P69" i="70" s="1"/>
  <c r="M68" i="70"/>
  <c r="P68" i="70" s="1"/>
  <c r="M67" i="70"/>
  <c r="P67" i="70" s="1"/>
  <c r="M66" i="70"/>
  <c r="P66" i="70" s="1"/>
  <c r="M65" i="70"/>
  <c r="P65" i="70" s="1"/>
  <c r="M64" i="70"/>
  <c r="P64" i="70" s="1"/>
  <c r="M63" i="70"/>
  <c r="P63" i="70" s="1"/>
  <c r="M62" i="70"/>
  <c r="P62" i="70" s="1"/>
  <c r="M61" i="70"/>
  <c r="P61" i="70" s="1"/>
  <c r="M60" i="70"/>
  <c r="P60" i="70" s="1"/>
  <c r="M59" i="70"/>
  <c r="P59" i="70" s="1"/>
  <c r="M54" i="70"/>
  <c r="P54" i="70" s="1"/>
  <c r="M50" i="70"/>
  <c r="P50" i="70" s="1"/>
  <c r="M49" i="70"/>
  <c r="P49" i="70" s="1"/>
  <c r="M48" i="70"/>
  <c r="P48" i="70" s="1"/>
  <c r="M47" i="70"/>
  <c r="P47" i="70" s="1"/>
  <c r="M46" i="70"/>
  <c r="P46" i="70" s="1"/>
  <c r="M45" i="70"/>
  <c r="P45" i="70" s="1"/>
  <c r="M42" i="70"/>
  <c r="P42" i="70" s="1"/>
  <c r="M41" i="70"/>
  <c r="P41" i="70" s="1"/>
  <c r="M40" i="70"/>
  <c r="P40" i="70" s="1"/>
  <c r="M39" i="70"/>
  <c r="P39" i="70" s="1"/>
  <c r="M38" i="70"/>
  <c r="P38" i="70" s="1"/>
  <c r="M37" i="70"/>
  <c r="P37" i="70" s="1"/>
  <c r="M36" i="70"/>
  <c r="P36" i="70" s="1"/>
  <c r="M35" i="70"/>
  <c r="P35" i="70" s="1"/>
  <c r="M34" i="70"/>
  <c r="P34" i="70" s="1"/>
  <c r="M27" i="70"/>
  <c r="P27" i="70" s="1"/>
  <c r="M25" i="70"/>
  <c r="P25" i="70" s="1"/>
  <c r="M24" i="70"/>
  <c r="P24" i="70" s="1"/>
  <c r="P22" i="70"/>
  <c r="P20" i="70"/>
  <c r="M20" i="70"/>
  <c r="M19" i="70"/>
  <c r="P15" i="70"/>
  <c r="M15" i="70"/>
  <c r="P14" i="70"/>
  <c r="M14" i="70"/>
  <c r="P13" i="70"/>
  <c r="F12" i="70"/>
  <c r="K314" i="70" l="1"/>
  <c r="N314" i="70"/>
  <c r="N389" i="70" s="1"/>
  <c r="F314" i="70"/>
  <c r="M160" i="70"/>
  <c r="P160" i="70" s="1"/>
  <c r="P314" i="70" s="1"/>
  <c r="P389" i="70" s="1"/>
  <c r="M314" i="70" l="1"/>
  <c r="M389" i="70" s="1"/>
</calcChain>
</file>

<file path=xl/comments1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K24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2шт на складе</t>
        </r>
      </text>
    </comment>
    <comment ref="K80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Заактовать 2кмт крепежа по данному заказу</t>
        </r>
      </text>
    </comment>
    <comment ref="J13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20шт на складе Хоружин</t>
        </r>
      </text>
    </comment>
    <comment ref="K199" authorId="0" shapeId="0">
      <text>
        <r>
          <rPr>
            <sz val="9"/>
            <color indexed="81"/>
            <rFont val="Tahoma"/>
            <family val="2"/>
            <charset val="204"/>
          </rPr>
          <t>комплект:200шт шплинт (покуп)+300шт задвижек(китай)+100 шт кулачок (Китай)</t>
        </r>
      </text>
    </comment>
    <comment ref="N22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заактован 22.11</t>
        </r>
      </text>
    </comment>
    <comment ref="J350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51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54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55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comments2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N2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актовка частично(только вал), заактовывать детали, согласно сборочному чертежу по мере готовности
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10 01 4 388 -1шт</t>
        </r>
      </text>
    </comment>
    <comment ref="D54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
документы декабря 23</t>
        </r>
      </text>
    </comment>
    <comment ref="D60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документы декабря 23</t>
        </r>
      </text>
    </comment>
    <comment ref="D61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документы декабря 23</t>
        </r>
      </text>
    </comment>
    <comment ref="K75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J125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20шт на складе Хоружин</t>
        </r>
      </text>
    </comment>
    <comment ref="K191" authorId="0" shapeId="0">
      <text>
        <r>
          <rPr>
            <sz val="9"/>
            <color indexed="81"/>
            <rFont val="Tahoma"/>
            <family val="2"/>
            <charset val="204"/>
          </rPr>
          <t>комплект:200шт шплинт (покуп)+300шт задвижек(китай)+100 шт кулачок (Китай)</t>
        </r>
      </text>
    </comment>
    <comment ref="J338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39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42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43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comments3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N2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актовка частично(только вал), заактовывать детали, согласно сборочному чертежу по мере готовности
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10 01 4 388 -1шт</t>
        </r>
      </text>
    </comment>
    <comment ref="D52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документы декабря 23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документы декабря 23</t>
        </r>
      </text>
    </comment>
    <comment ref="K65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N128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26 шт-акт, 55 шт акт на заготовки</t>
        </r>
      </text>
    </comment>
    <comment ref="K166" authorId="0" shapeId="0">
      <text>
        <r>
          <rPr>
            <sz val="9"/>
            <color indexed="81"/>
            <rFont val="Tahoma"/>
            <family val="2"/>
            <charset val="204"/>
          </rPr>
          <t>комплект:200шт шплинт (покуп)+300шт задвижек(китай)+100 шт кулачок (Китай)</t>
        </r>
      </text>
    </comment>
    <comment ref="J329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30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33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34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comments4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N28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актовка частично(только вал), заактовывать детали, согласно сборочному чертежу по мере готовности
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10 01 4 388 -1шт</t>
        </r>
      </text>
    </comment>
    <comment ref="D56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документы декабря 23</t>
        </r>
      </text>
    </comment>
    <comment ref="K68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P147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запущен дополнительно, б/коммерсантов. Порезка металла в октябре 2023г. </t>
        </r>
      </text>
    </comment>
    <comment ref="J319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20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23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24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comments5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N26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актовка частично(только вал), заактовывать детали, согласно сборочному чертежу по мере готовности
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10 01 4 388 -1шт</t>
        </r>
      </text>
    </comment>
    <comment ref="K69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J316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17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20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21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comments6.xml><?xml version="1.0" encoding="utf-8"?>
<comments xmlns="http://schemas.openxmlformats.org/spreadsheetml/2006/main">
  <authors>
    <author>Лариса</author>
    <author>Сидорова Надежда Анатольевна</author>
  </authors>
  <commentList>
    <comment ref="N29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актовка частично(только вал), заактовывать детали, согласно сборочному чертежу по мере готовности
</t>
        </r>
      </text>
    </comment>
    <comment ref="C46" authorId="0" shapeId="0">
      <text>
        <r>
          <rPr>
            <b/>
            <sz val="9"/>
            <color indexed="81"/>
            <rFont val="Tahoma"/>
            <family val="2"/>
            <charset val="204"/>
          </rPr>
          <t>Лариса:</t>
        </r>
        <r>
          <rPr>
            <sz val="9"/>
            <color indexed="81"/>
            <rFont val="Tahoma"/>
            <family val="2"/>
            <charset val="204"/>
          </rPr>
          <t xml:space="preserve">
10 01 4 388 -1шт</t>
        </r>
      </text>
    </comment>
    <comment ref="K73" authorId="0" shapeId="0">
      <text>
        <r>
          <rPr>
            <sz val="9"/>
            <color indexed="81"/>
            <rFont val="Tahoma"/>
            <family val="2"/>
            <charset val="204"/>
          </rPr>
          <t>1шт- производство+1шт - 
восстановление, находящегося на складе</t>
        </r>
      </text>
    </comment>
    <comment ref="J301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01/390000 gthtldb;rb
</t>
        </r>
      </text>
    </comment>
    <comment ref="J302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гшо 01.222.00 рн
</t>
        </r>
      </text>
    </comment>
    <comment ref="J305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  <comment ref="J306" authorId="1" shapeId="0">
      <text>
        <r>
          <rPr>
            <b/>
            <sz val="9"/>
            <color indexed="81"/>
            <rFont val="Tahoma"/>
            <family val="2"/>
            <charset val="204"/>
          </rPr>
          <t>Сидорова Надежда Анатольевна:</t>
        </r>
        <r>
          <rPr>
            <sz val="9"/>
            <color indexed="81"/>
            <rFont val="Tahoma"/>
            <family val="2"/>
            <charset val="204"/>
          </rPr>
          <t xml:space="preserve">
в работе ОГТ
</t>
        </r>
      </text>
    </comment>
  </commentList>
</comments>
</file>

<file path=xl/sharedStrings.xml><?xml version="1.0" encoding="utf-8"?>
<sst xmlns="http://schemas.openxmlformats.org/spreadsheetml/2006/main" count="5478" uniqueCount="1018">
  <si>
    <t>Наименование детали, узла, продукции, вида ремонта</t>
  </si>
  <si>
    <t xml:space="preserve"> </t>
  </si>
  <si>
    <t>Итого по машиностроению</t>
  </si>
  <si>
    <t>Итого по капитальному ремонту</t>
  </si>
  <si>
    <t>Дополнение</t>
  </si>
  <si>
    <t>ш.Рубана</t>
  </si>
  <si>
    <t>МАШИНОСТРОЕНИЕ</t>
  </si>
  <si>
    <t>КАПИТАЛЬНЫЙ РЕМОНТ ОБОРУДОВАНИЯ</t>
  </si>
  <si>
    <t>Кеммебель</t>
  </si>
  <si>
    <t>№ заказа</t>
  </si>
  <si>
    <t>Дата письма</t>
  </si>
  <si>
    <t>ГАРАНТИЙНЫЕ ОБЯЗАТЕЛЬСТВА</t>
  </si>
  <si>
    <t>Договор (спецификация)</t>
  </si>
  <si>
    <t xml:space="preserve">Контрагент </t>
  </si>
  <si>
    <t>Объем по заказу</t>
  </si>
  <si>
    <t>кол-во</t>
  </si>
  <si>
    <t>План</t>
  </si>
  <si>
    <t>Факт</t>
  </si>
  <si>
    <t>ЗАЯВЛЕННЫЕ ОБЪЕМЫ ПРОИЗВОДСТВА, СОГЛАСНО ДОГОВОРНЫМ ОБЯЗАТЕЛЬСТВАМ</t>
  </si>
  <si>
    <t>СУЭК-Кузбасс ш.Кирова</t>
  </si>
  <si>
    <t>НЕОСВОЕННЫЕ ОБЪЕМЫ по договору</t>
  </si>
  <si>
    <t>Итого по гарантийным обязательствам</t>
  </si>
  <si>
    <t>ПОЛУФАБРИКАТЫ и ЗАГОТОВКИ (по фактической стоимости)</t>
  </si>
  <si>
    <t>ВСЕГО ПО ПЛАНУ</t>
  </si>
  <si>
    <t>ВСЕГО ПО ДОПОЛНЕНИЮ</t>
  </si>
  <si>
    <t>ВСЕГО ПО размещенным заказам</t>
  </si>
  <si>
    <t>Итого по полуфабрикатам и заготовкам</t>
  </si>
  <si>
    <t>СУЭК-Кузбасс ш.Талдинская-Западная 1</t>
  </si>
  <si>
    <t>Свободные остатки</t>
  </si>
  <si>
    <t>ИП Сандыркин</t>
  </si>
  <si>
    <t>ш.Антоновская</t>
  </si>
  <si>
    <t>ООО "Темп (Деревенский молочный завод)</t>
  </si>
  <si>
    <t>ш/у Октябрьский</t>
  </si>
  <si>
    <t>Ш.Алексиевская</t>
  </si>
  <si>
    <t>СПСК ООО</t>
  </si>
  <si>
    <t>ООО "Белон"</t>
  </si>
  <si>
    <t>ш.№7</t>
  </si>
  <si>
    <t>Разрез Шестаки КОРС</t>
  </si>
  <si>
    <t>Ш.Тихова</t>
  </si>
  <si>
    <t>ш.Заречная КОРС</t>
  </si>
  <si>
    <t>Кутерин С.Н.</t>
  </si>
  <si>
    <t>Рем. Фонд</t>
  </si>
  <si>
    <t>Производственное задание</t>
  </si>
  <si>
    <t>Северный Кузбасс</t>
  </si>
  <si>
    <t>Б/определенного Заказчика</t>
  </si>
  <si>
    <t>Ургалуголь</t>
  </si>
  <si>
    <t>ОСНАСТКА</t>
  </si>
  <si>
    <t>Итого по оснастке</t>
  </si>
  <si>
    <t>Куратор</t>
  </si>
  <si>
    <t>Сочнов С.М.</t>
  </si>
  <si>
    <t>Хоружин А.В.</t>
  </si>
  <si>
    <t>Срок изготовления</t>
  </si>
  <si>
    <t>КАПИТАЛЬНЫЙ РЕМОНТ ОБОРУДОВАНИЯ И УСЛУГИ</t>
  </si>
  <si>
    <t>СУЭК-Кузбасс</t>
  </si>
  <si>
    <t>минимальный</t>
  </si>
  <si>
    <t>ГАРАНТИЙНЫЕ ОБЯЗАТЕЛЬСТВА (91сч)</t>
  </si>
  <si>
    <t>00 01 3 163</t>
  </si>
  <si>
    <t>00 07 1 027</t>
  </si>
  <si>
    <t>Люнет на станок ДИП500</t>
  </si>
  <si>
    <t>Колесо цевочное 00571157-0057 (Z13)</t>
  </si>
  <si>
    <t>Пермикин А.Ю.</t>
  </si>
  <si>
    <t>ММК-Уголь</t>
  </si>
  <si>
    <t>Восстановление вальцев</t>
  </si>
  <si>
    <t>СЕВЕРНЫЙ КУЗБАСС</t>
  </si>
  <si>
    <t>00 07 4 287</t>
  </si>
  <si>
    <t>Станок наплавочный</t>
  </si>
  <si>
    <t>ООО УК Анжерская-Южная</t>
  </si>
  <si>
    <t>10 01 2 065</t>
  </si>
  <si>
    <t>Втулка подшипника СИТК.43.00.002 (аналог втулка подшипника 112148)</t>
  </si>
  <si>
    <t>СУЭК-КУЗБАСС</t>
  </si>
  <si>
    <t>Штыбоочиститель грубой очистки с п/ма чистящими сегментами (аналог METSO)</t>
  </si>
  <si>
    <t>ПК-ВИСТЕК</t>
  </si>
  <si>
    <t>00 01 4 332</t>
  </si>
  <si>
    <t>00 01 4 379</t>
  </si>
  <si>
    <t>00 01 4 380</t>
  </si>
  <si>
    <t>Колесо Z12 KSW</t>
  </si>
  <si>
    <t>Колесо Z7 KSW</t>
  </si>
  <si>
    <t>Закалка заготовки буровой штанги БГА2В L=0.6м</t>
  </si>
  <si>
    <t>Итого по гарантийному ремонту</t>
  </si>
  <si>
    <t>Шахта ТИХОВА</t>
  </si>
  <si>
    <t>Ремонт редуктора GSM 818</t>
  </si>
  <si>
    <t>12 03 1 057</t>
  </si>
  <si>
    <t>Промышленные инвестиции (Промтехресурсы)</t>
  </si>
  <si>
    <t>12 03 2 134</t>
  </si>
  <si>
    <t>12 03 2 135</t>
  </si>
  <si>
    <t>00 05 2 159</t>
  </si>
  <si>
    <t>12 01 3 283</t>
  </si>
  <si>
    <t>47 03 3 311</t>
  </si>
  <si>
    <t>Антоновская</t>
  </si>
  <si>
    <t>Промтехресурсы</t>
  </si>
  <si>
    <t xml:space="preserve">перенос затрат по 1шт </t>
  </si>
  <si>
    <t>Хоружин</t>
  </si>
  <si>
    <t>аннулирован</t>
  </si>
  <si>
    <t>.</t>
  </si>
  <si>
    <t>Юбилейная</t>
  </si>
  <si>
    <t>РУК</t>
  </si>
  <si>
    <t>Услуги по изготовлению балки венткамеры Б-2</t>
  </si>
  <si>
    <t>Услуги по изготовлению балки венткамеры Б-3</t>
  </si>
  <si>
    <t>Услуги по изготовлению балки венткамеры Б-5</t>
  </si>
  <si>
    <t>00 05 1 132</t>
  </si>
  <si>
    <t>00 05 1 133</t>
  </si>
  <si>
    <t>00 05 1 135</t>
  </si>
  <si>
    <t>Вал шлицевой 01069528-2156</t>
  </si>
  <si>
    <t>Кривских Ю.А.</t>
  </si>
  <si>
    <t>47 03 2 175</t>
  </si>
  <si>
    <t>21 02 2 179</t>
  </si>
  <si>
    <t>Дефектовка редуктора 7КЦ2Ф-450 Зарем</t>
  </si>
  <si>
    <t>Установка ТВЧ</t>
  </si>
  <si>
    <t>00 07 2 223</t>
  </si>
  <si>
    <t>Ремонт грохота SLК инв.№4418598</t>
  </si>
  <si>
    <t>10 03 2 226</t>
  </si>
  <si>
    <t>Шахта Сибирская</t>
  </si>
  <si>
    <t>Кривских Ю.</t>
  </si>
  <si>
    <t>Спецификация ШСА-УС №1 от 13.07.2022</t>
  </si>
  <si>
    <t>00 01 3 287</t>
  </si>
  <si>
    <t>00 01 3 288</t>
  </si>
  <si>
    <t>00 01 3 289</t>
  </si>
  <si>
    <t>Галерея Л-СИТК-800, L=27,2, N=1x7,5кВт, V=1,6м/с (Порода)</t>
  </si>
  <si>
    <t>Галерея Л-СИТК-800, L=27,2, N=1x7,5кВт, V=1,6м/с (Кек)</t>
  </si>
  <si>
    <t>Галерея Л-СИТК-800, L=83, N=1x22кВт, V=1,6м/с (Концентрат)</t>
  </si>
  <si>
    <t>Хоружин А.</t>
  </si>
  <si>
    <t>Ремонт приспособления для сборки декантера</t>
  </si>
  <si>
    <t>00 07 3 323</t>
  </si>
  <si>
    <t>Комплект кулачков САТ5316972 конвейер AFC PF6/1142</t>
  </si>
  <si>
    <t>КМП угололков Р6 для MRHS 5325486 конвейер PF6/1142</t>
  </si>
  <si>
    <t>Цепесъемник САТ5410007 конвейер PF6/1142</t>
  </si>
  <si>
    <t>Деталь муфты N220*10/W220*10667721 PF4/1132</t>
  </si>
  <si>
    <t>Ремонт редуктора РПК-80</t>
  </si>
  <si>
    <t>актовка на этот заказ ремонта от 04.10.2022</t>
  </si>
  <si>
    <t>Ремонт лыжи захватной комбайна JOY 4LS20 (зав.№LWS867, инв.№6379)</t>
  </si>
  <si>
    <t>Палец 40ХН D57мм L228мм СИТК.433.00.01.002</t>
  </si>
  <si>
    <t>Колесо цевочное S289335Z комбайн SL-900</t>
  </si>
  <si>
    <t>36 01 4 449</t>
  </si>
  <si>
    <t>Вал двигателя JOY MINING MACHINERY 100265287</t>
  </si>
  <si>
    <t>Спецификация №2 от 02.11.2022</t>
  </si>
  <si>
    <t>Капитальный ремонт редуктора R200N1 черт.G-2251 LW4</t>
  </si>
  <si>
    <t>Спецификация №20 от 10.10.2022</t>
  </si>
  <si>
    <t>07 03 4 471</t>
  </si>
  <si>
    <t>00 07 4 472</t>
  </si>
  <si>
    <t>Ремонт вертикально-фрезерного станка 6А56</t>
  </si>
  <si>
    <t>07 03 3 480</t>
  </si>
  <si>
    <t xml:space="preserve">Объем заказов и производства продукции </t>
  </si>
  <si>
    <t>КОМПЛЕКТ УПОРНЫХ УГОЛКОВ 140138 MRHS35</t>
  </si>
  <si>
    <t>10 01 4 482</t>
  </si>
  <si>
    <t>КОЛЕСО ЦЕВОЧНОЕ S281354ZA КОМБАЙН SL-300</t>
  </si>
  <si>
    <t>РЕМКОМПЛЕКТ S289671Y КОМБАЙН SL-500</t>
  </si>
  <si>
    <t>Спецификация №8900621666 от 09.12.2022г</t>
  </si>
  <si>
    <t>ВАЛ ПРИВОДНОЙ BSW260-D280 5319890 КОНВЕЙЕРPF4/1132</t>
  </si>
  <si>
    <t>10 01 4 500</t>
  </si>
  <si>
    <t>Спецификация №8900621750 от 13.12.2022г</t>
  </si>
  <si>
    <t>ОПОРА САМОУСТАНАВЛИВАЮЩАЯ СЯ S287324 SL900</t>
  </si>
  <si>
    <t>ВАЛ ПРИВОДНОЙ ESW260-D280 531-9847 КОНВЕЙЕР PF4/1132</t>
  </si>
  <si>
    <t>10 01 4 504</t>
  </si>
  <si>
    <t>10 01 4 506</t>
  </si>
  <si>
    <t>Вал соединительный СИТК.00.117 комбайн SANDVIK МВ670-1</t>
  </si>
  <si>
    <t>01 01 4 511</t>
  </si>
  <si>
    <t>Спецификация №8900619697 от 30.11.2022г</t>
  </si>
  <si>
    <t>01 01 4 514</t>
  </si>
  <si>
    <t xml:space="preserve">Спецификация №8900625116 </t>
  </si>
  <si>
    <t>Полумуфта с дуговыми зубьями 892734</t>
  </si>
  <si>
    <t>01 01 4 533</t>
  </si>
  <si>
    <t>Вал срезной дв.резания 550 кВт S 262640</t>
  </si>
  <si>
    <t>Шестерня переворота лемеха S 258674</t>
  </si>
  <si>
    <t>Палец цевочного колеса S 284312</t>
  </si>
  <si>
    <t>01 01 4 538</t>
  </si>
  <si>
    <t>01 01 4 540</t>
  </si>
  <si>
    <t>01 01 4 542</t>
  </si>
  <si>
    <t>Лыжа забойная 100287200</t>
  </si>
  <si>
    <t>Захват 100100710</t>
  </si>
  <si>
    <t>Муфта зубчатая (комплект) ГП1,ГП2 101005193</t>
  </si>
  <si>
    <t>Муфта зубчатая (комплект) ВП 101005111</t>
  </si>
  <si>
    <t>Пластина износа (бугель) 101005816</t>
  </si>
  <si>
    <t>Муфта зубчатая (комплект) 10037449</t>
  </si>
  <si>
    <t>Пластина износа (бугель) 100962843</t>
  </si>
  <si>
    <t>Кулак (боек) А19992-951</t>
  </si>
  <si>
    <t>01 01 4 549</t>
  </si>
  <si>
    <t>01 01 4 553</t>
  </si>
  <si>
    <t>01 01 4 554</t>
  </si>
  <si>
    <t>01 01 4 556</t>
  </si>
  <si>
    <t>01 01 4 557</t>
  </si>
  <si>
    <t>01 01 4 558</t>
  </si>
  <si>
    <t>01 01 4 561</t>
  </si>
  <si>
    <t>01 01 4 563</t>
  </si>
  <si>
    <t>01 01 4 562</t>
  </si>
  <si>
    <t>01 01 4 569</t>
  </si>
  <si>
    <t>Приводной вал в сборе SPR-3-1300 53221181000000 (668495)</t>
  </si>
  <si>
    <t>Муфта фланцевая тихоходная 100133913</t>
  </si>
  <si>
    <t>Барабан хвостовой маслонаполненый 101005144</t>
  </si>
  <si>
    <t>01 01 4 572</t>
  </si>
  <si>
    <t>01 01 4 575</t>
  </si>
  <si>
    <t>01 01 4 576</t>
  </si>
  <si>
    <t>01 01 4 577</t>
  </si>
  <si>
    <t>01 01 4 578</t>
  </si>
  <si>
    <t>01 01 4 581</t>
  </si>
  <si>
    <t>01 01 4 582</t>
  </si>
  <si>
    <t>Отклоняющий барабан D 240/1886/80 58800023100000 (847237)</t>
  </si>
  <si>
    <t>НАПРАВЛЯЮЩАЯ ЦЕПИ ЛВ SCC MP BS00178197</t>
  </si>
  <si>
    <t>НАПРАВЛЯЮЩАЯ ЦЕПИ ПР SCC MP BS00178210</t>
  </si>
  <si>
    <t>НАПРАВЛЯЮЩАЯ ЦЕПИ ПР SCC 65698419000</t>
  </si>
  <si>
    <t>НАПРАВЛЯЮЩАЯ ЦЕПИ ЛВ SCC 65698420000</t>
  </si>
  <si>
    <t>ЗВЕЗДОЧКА ЦЕПИ В СБОРЕ 65649164000</t>
  </si>
  <si>
    <t>МУФТА N EUPEX B225 65656924000</t>
  </si>
  <si>
    <t>Комплект профилей 668880 MRKR3535 конвейер PF/4</t>
  </si>
  <si>
    <t>Направляющая съемника 668330 PF4</t>
  </si>
  <si>
    <t>Корпус подшипника 4398621 SK1111</t>
  </si>
  <si>
    <t>10 01 1 024</t>
  </si>
  <si>
    <t>10 01 1 025</t>
  </si>
  <si>
    <t>10 01 1 027</t>
  </si>
  <si>
    <t>Держатель (378783)</t>
  </si>
  <si>
    <t>Лыжа забойная S235003 SL-500</t>
  </si>
  <si>
    <t>10 01 1 049</t>
  </si>
  <si>
    <t>Звездочка DKB42х146-7Z-КА 165-972 PF4/1132</t>
  </si>
  <si>
    <t>31.06.23</t>
  </si>
  <si>
    <t>01 01 1 051</t>
  </si>
  <si>
    <t>01 01 1 062</t>
  </si>
  <si>
    <t>Спецификация №8900642877</t>
  </si>
  <si>
    <t>8шт -30.03.2023, 16шт-30.04.2023</t>
  </si>
  <si>
    <t>01 01 1 075</t>
  </si>
  <si>
    <t>Боек дробилки SK1111</t>
  </si>
  <si>
    <t>Вал ведущий D11,25 GH31190</t>
  </si>
  <si>
    <t>Спецификация №11 от 03.03.2022г</t>
  </si>
  <si>
    <t>Барабан цепной КПЛ 2х30 Z-5 24.667.000.000СБ перегружателя GROT750</t>
  </si>
  <si>
    <t>02 01 1 094</t>
  </si>
  <si>
    <t>Фиксатор 5086997 PF AFC</t>
  </si>
  <si>
    <t>01 01 1 096</t>
  </si>
  <si>
    <t>Спецификация №8900654004</t>
  </si>
  <si>
    <t>Узел щитка перекрытия 100521948</t>
  </si>
  <si>
    <t>ЗВЕЗДОЧКА DKB 34*126-7-330 ВЕ668500 PF6</t>
  </si>
  <si>
    <t>Вал предохранительный 01069528-0529</t>
  </si>
  <si>
    <t>00 07 1 112</t>
  </si>
  <si>
    <t>Стеллаж передвижной ТК.134.00000</t>
  </si>
  <si>
    <t>ТД Талдинский</t>
  </si>
  <si>
    <t>Звезда приводная конвейера SANDVIK 65634360860 крмбайн МН621-057</t>
  </si>
  <si>
    <t>01 01 2 125</t>
  </si>
  <si>
    <t>Спецификация №8900663816</t>
  </si>
  <si>
    <t>Колесо ведущее 03039850-2007 (Колесо ведущее 03069850-2007)</t>
  </si>
  <si>
    <t>07 01 2 126</t>
  </si>
  <si>
    <t>Болт специальный ДУ910.38.003</t>
  </si>
  <si>
    <t>Спецификация №8900665627 от 12.04.2023г</t>
  </si>
  <si>
    <t>10 01 2 131</t>
  </si>
  <si>
    <t>10 01 2 132</t>
  </si>
  <si>
    <t>Палец рейки 711767 PF-4/1132</t>
  </si>
  <si>
    <t>Спецификация № 87/КЕА от 07.04.2023г</t>
  </si>
  <si>
    <t xml:space="preserve">Штифт стопорный 100543179 </t>
  </si>
  <si>
    <t xml:space="preserve">Фиксатор домкрата 100550248 </t>
  </si>
  <si>
    <t xml:space="preserve">Козырек в сборе 100532912 </t>
  </si>
  <si>
    <t>Козырек в сборе 100555089</t>
  </si>
  <si>
    <t>Система передвижки СИТК .130.00.00.000 Л/150 СБ</t>
  </si>
  <si>
    <t xml:space="preserve">Ограждение комплектное  955-01-42 </t>
  </si>
  <si>
    <t>Блокировка пальца G002-01-08-04</t>
  </si>
  <si>
    <t>Ограждение груди забоя G002-02-07-01/1</t>
  </si>
  <si>
    <t xml:space="preserve"> Боковое ограждение верхняка лев. G002-02-02-04 </t>
  </si>
  <si>
    <t>Боковое ограждение верхняка прав. G002-02-02-05</t>
  </si>
  <si>
    <t>Боковое ограждение верхняка левое G002-03-03-02/1</t>
  </si>
  <si>
    <t>Боковое ограждение верхняка правое G002-03-03-03/1</t>
  </si>
  <si>
    <t>10 01 2 140</t>
  </si>
  <si>
    <t>10 01 2 147</t>
  </si>
  <si>
    <t>10 01 2 148</t>
  </si>
  <si>
    <t>10 01 2 149</t>
  </si>
  <si>
    <t>10 01 2 150</t>
  </si>
  <si>
    <t>10 01 2 153</t>
  </si>
  <si>
    <t>10 01 2 154</t>
  </si>
  <si>
    <t>10 01 2 156</t>
  </si>
  <si>
    <t>10 01 2 157</t>
  </si>
  <si>
    <t>10 01 2 158</t>
  </si>
  <si>
    <t>10 01 2 159</t>
  </si>
  <si>
    <t>10 01 2 160</t>
  </si>
  <si>
    <t>10 01 2 161</t>
  </si>
  <si>
    <t>10 01 2 163</t>
  </si>
  <si>
    <t>Боек ДУ-910.38.011А в сборе</t>
  </si>
  <si>
    <t>Звездочка цепная DKF 48Х144/160-7-250 4838890 PF6</t>
  </si>
  <si>
    <t>00 07 2 176</t>
  </si>
  <si>
    <t>Прошивка ротационная ТК.142.000</t>
  </si>
  <si>
    <t>Шестак Е.Н.</t>
  </si>
  <si>
    <t>Ремфонд собственный</t>
  </si>
  <si>
    <t>Еврохим</t>
  </si>
  <si>
    <t>Договор №ВК-23/1405 от 19.05.23</t>
  </si>
  <si>
    <t>03 01 2 184</t>
  </si>
  <si>
    <t>Звезда приводная конвейера 65634360860 SANDVIK комбайн МН621-057</t>
  </si>
  <si>
    <t>Спецификация № 91/КЕА от 23.05.2023</t>
  </si>
  <si>
    <t>07 01 2 185</t>
  </si>
  <si>
    <t>Втулка W11.266-10.008/1</t>
  </si>
  <si>
    <t>Тележка передаточная рельсовая ТК.140.00.000</t>
  </si>
  <si>
    <t>00 07 2 186</t>
  </si>
  <si>
    <t>отгрузка 27.10</t>
  </si>
  <si>
    <t>00 07 2 187</t>
  </si>
  <si>
    <t>Станочная остастка для токарной группы, кмт</t>
  </si>
  <si>
    <t>00 07 2 188</t>
  </si>
  <si>
    <t>Вал приводной Арт № 668279 (531-9856) к PF4/1132 (ЦБ-00184594)</t>
  </si>
  <si>
    <t>49 01 2 190</t>
  </si>
  <si>
    <t>Направляющая захвата EICKHOFF S 291897Y комбайна SL-900</t>
  </si>
  <si>
    <t>01 01 2 206</t>
  </si>
  <si>
    <t>Боек ДУ910.38.011А в сборе</t>
  </si>
  <si>
    <t>12 01 2 208</t>
  </si>
  <si>
    <t>Вал приводной BSW260-D280 ВЕ668730 КР15</t>
  </si>
  <si>
    <t>Барабан перфорированный 3 D440 ФПП3.МЧ.56 ФПП-3000МЧ</t>
  </si>
  <si>
    <t>Спецификация № 8900690120 от 14.06.2023г</t>
  </si>
  <si>
    <t>Спецификация № 8900678186 от 08.06.2023г</t>
  </si>
  <si>
    <t>10 01 2 209</t>
  </si>
  <si>
    <t>10 01 2 210</t>
  </si>
  <si>
    <t>10 01 2 211</t>
  </si>
  <si>
    <t>Шестак</t>
  </si>
  <si>
    <t>Договор подряда №УРГАЛ-22/543У от 17.05.2022 г. на ремонт оборудования</t>
  </si>
  <si>
    <t>отгрузка 14.11.2022г</t>
  </si>
  <si>
    <t>Спецификация №8900694132</t>
  </si>
  <si>
    <t>Звездочка 100101581СБ</t>
  </si>
  <si>
    <t>01 01 2 216</t>
  </si>
  <si>
    <t>Спецификация № 8900691099 от 16.06.2023г</t>
  </si>
  <si>
    <t>Вал приводной 286 ФППЗ.МЧ.40 ФПП-3000МЧ</t>
  </si>
  <si>
    <t>Спецификация №ЗП-18880 от 08.06.2023</t>
  </si>
  <si>
    <t>Вал S252748 для комбайна SL-300 срезной</t>
  </si>
  <si>
    <t>ВАЛ_ШЛИЦЕВОЙ_01069528-0529</t>
  </si>
  <si>
    <t>Шайба 40ХН М57 СИТК.433.00.01.003-01 для канатного блока</t>
  </si>
  <si>
    <t>Шкив 40ХН 230х80 СИТК.433.00.01.001-01 для прямой скобы под канат D32мм</t>
  </si>
  <si>
    <t>ПРИКАЗ №38 от 22.06.2023г</t>
  </si>
  <si>
    <t>Боек ДУ910.438.011 с крепежом (СИБ/507/00000989)</t>
  </si>
  <si>
    <t>ЗВЕЗДОЧКА ПРИВОДНАЯ В СБОРЕ (СИБ/512/00078251)</t>
  </si>
  <si>
    <t>Палец цилиндрический 01069427-2016 PIN. HEADED, (METRIC) комбайн 4LS-20 (СИБ/503/00018135)</t>
  </si>
  <si>
    <t>Палец цилиндрический 01069432-1058  комбайн 4LS-20 (СИБ/503/00018132)</t>
  </si>
  <si>
    <t>СРЕЗНОЙ ПАЛЕЦ ф60*180 PART. №ГТМ-70.00.11</t>
  </si>
  <si>
    <t>Цевочное колесо sprocket парт№ 100026187(00571157-0062) (СИБ/503/00011292)</t>
  </si>
  <si>
    <t>12 01 3 232</t>
  </si>
  <si>
    <t>Цепесъемник DKB 34*126-7Z-KA130 668313</t>
  </si>
  <si>
    <t>Спецификация №8900687635</t>
  </si>
  <si>
    <t>01 01 3 241</t>
  </si>
  <si>
    <t>Спецификация №8900700492</t>
  </si>
  <si>
    <t>01 01 3 245</t>
  </si>
  <si>
    <t>Соединитель 3000 КН WY20.091.01-01.003</t>
  </si>
  <si>
    <t>Спецификация №8900700491</t>
  </si>
  <si>
    <t>01 01 3 249</t>
  </si>
  <si>
    <t>Спецификация №8900702398</t>
  </si>
  <si>
    <t>Фланец промежуточный S252666 SL-300</t>
  </si>
  <si>
    <t>01 01 3 252</t>
  </si>
  <si>
    <t>01 01 3 251</t>
  </si>
  <si>
    <t>Спецификация №8900699536</t>
  </si>
  <si>
    <t>Вал приводной MR65-1100 4838907 конвейер забойный PF-6</t>
  </si>
  <si>
    <t>Головка ударная 5325488</t>
  </si>
  <si>
    <t>01 01 3 253</t>
  </si>
  <si>
    <t>01 01 3 254</t>
  </si>
  <si>
    <t>Направляющая кабеля СИТК.491.00.01.000СБ вагон самоходный</t>
  </si>
  <si>
    <t>01 01 3 256</t>
  </si>
  <si>
    <t>Спецификация №8900704103</t>
  </si>
  <si>
    <t>ОФ ТРЕТЬЯКОВСКАЯ</t>
  </si>
  <si>
    <t>Колесо цевочное S239573ZA комбайн SL300/500/900</t>
  </si>
  <si>
    <t>Спецификация №8900706036</t>
  </si>
  <si>
    <t>01 01 3 260</t>
  </si>
  <si>
    <t>Лыжа 100055682 (в т.ч. Наплавка скребков - 144шт)</t>
  </si>
  <si>
    <t>Приложение №8М/4500776802 от 28.09.2022г. к Договору поставки №ДГРУЗ-000855 от 29.01.2021</t>
  </si>
  <si>
    <t>отгрузка 10.05.2023</t>
  </si>
  <si>
    <t>Кол-во по договору</t>
  </si>
  <si>
    <t>Втулка BUSHING, FLANGED, OD 590.43 MM, ID 565.42 РАЗРЕЗНАЯ С БУРТОМ СТАЛЬ 100400330 ОЧИСТНОЙ КОМБАЙН 4LS20 (СИБ/503/00091509)</t>
  </si>
  <si>
    <t>Втулка BUSHING, STRAIGHT, OD 114.00000 MM, НАПРАВЛЯЮШАЯ СТАЛЬ 10051104 ОЧИСТНОЙ КОМБАЙН 4LS20 (СИБ/503/00091512)</t>
  </si>
  <si>
    <t>ЗВЕЗДОЧКА GEAR, SPUR, 3-1/2DP ПРИВОДНАЯ 01069718-0061 ОЧИСТНОЙ КОМБАЙН 4LS20 (СИБ/503/00091511)</t>
  </si>
  <si>
    <t>ЗВЕЗДОЧКА GEAR, SPUR, TEETH 12.00000.TRA 25DEG POTOP 100051103 ОЧИСТНОЙ КОМБАЙН 4LS20 (СИБ/503/00091507)</t>
  </si>
  <si>
    <t>Гантели 760-0670-Y7 конвейер JOY AFC</t>
  </si>
  <si>
    <t>Соединитель рештаков 763-7020-Y2 конвейер скребковый JOY AFC</t>
  </si>
  <si>
    <t>Спецификация №8900703403</t>
  </si>
  <si>
    <t>01 01 3 266</t>
  </si>
  <si>
    <t>01 01 3 267</t>
  </si>
  <si>
    <t>01 01 3 268</t>
  </si>
  <si>
    <t xml:space="preserve">Приложение №13М/4500929303 от 30.05.2023 </t>
  </si>
  <si>
    <t>36 01 3 269</t>
  </si>
  <si>
    <t>36 01 3 270</t>
  </si>
  <si>
    <t>Барабан цепной 2х34х126 Z-5 хвостовой рамы скребкового перегружателя GROT 950</t>
  </si>
  <si>
    <t>Барабан цепной 2х34х126 Z-7 25/2хW220 разгрузочного привода скребкового перегружателя GROT 950</t>
  </si>
  <si>
    <t>Ролик опорный 160*205 712552</t>
  </si>
  <si>
    <t>Лыжа шарнирная левая арт.130478</t>
  </si>
  <si>
    <t>Лыжа шарнирная правая арт.130477</t>
  </si>
  <si>
    <t>07 01 3 276</t>
  </si>
  <si>
    <t>07 01 3 277</t>
  </si>
  <si>
    <t>07 01 3 278</t>
  </si>
  <si>
    <t>07 01 3 279</t>
  </si>
  <si>
    <t>Звездочка 100041230 конвейер JOY AFC</t>
  </si>
  <si>
    <t>Звездочка 100134501 конвейер JOY AFC</t>
  </si>
  <si>
    <t>Звездочка 100980237 конвейер JOY AFC</t>
  </si>
  <si>
    <t>Опора звездочки 1300 112162</t>
  </si>
  <si>
    <t>01 01 3 280</t>
  </si>
  <si>
    <t>01 01 3 281</t>
  </si>
  <si>
    <t>01 01 3 282</t>
  </si>
  <si>
    <t>01 01 3 283</t>
  </si>
  <si>
    <t>Спецификация №8900712974</t>
  </si>
  <si>
    <t>Спецификация №8900712976</t>
  </si>
  <si>
    <t>07 01 3 284</t>
  </si>
  <si>
    <t>Малиновский</t>
  </si>
  <si>
    <t>10 01 2 218</t>
  </si>
  <si>
    <t>Услуги по изготовлению шестерни СГМ-08.00.02</t>
  </si>
  <si>
    <t>Услуги по изготовлению шестерни СГМ-08.00.01</t>
  </si>
  <si>
    <t>Услуги по изготовлению привода торсионного И.О.4712472</t>
  </si>
  <si>
    <t>19 01 3 289</t>
  </si>
  <si>
    <t>19 01 3 290</t>
  </si>
  <si>
    <t>19 01 3 291</t>
  </si>
  <si>
    <t>Спецификация №1 от 03.04.2023г</t>
  </si>
  <si>
    <t>Спецификация №2 от 03.04.2023г</t>
  </si>
  <si>
    <t>Спецификация №3 от 03.04.2023г</t>
  </si>
  <si>
    <t>РУК Приказ №61 от 01.09.2023</t>
  </si>
  <si>
    <t>Вал с подшипниковой опорой 5408099 BSW220*10 конвейер PF6/1142</t>
  </si>
  <si>
    <t>Звездочка DKB 34*126-7-330 BE668500 PF6</t>
  </si>
  <si>
    <t>Цепесъемник 5408101 конвейер PF6/1342</t>
  </si>
  <si>
    <t>01 01 3 292</t>
  </si>
  <si>
    <t>01 01 3 293</t>
  </si>
  <si>
    <t>01 01 3 294</t>
  </si>
  <si>
    <t>01 01 3 295</t>
  </si>
  <si>
    <t>01 01 3 296</t>
  </si>
  <si>
    <t>Спецификация № 8900719367</t>
  </si>
  <si>
    <t>СДС</t>
  </si>
  <si>
    <t>34 01 3 297</t>
  </si>
  <si>
    <t>Колесо ведомое цевочное S239573ZA</t>
  </si>
  <si>
    <t>12 01 3 300</t>
  </si>
  <si>
    <t>Договор №КИР052023 от 23.05.2023</t>
  </si>
  <si>
    <t>01 03 3 302</t>
  </si>
  <si>
    <t>Ремонт привода погрузчика комбайна проходческого МН621</t>
  </si>
  <si>
    <t>ремонт вентилятора УВЦГ-9</t>
  </si>
  <si>
    <t>Ремонт редуктора КР-15</t>
  </si>
  <si>
    <t>07 03 3 305</t>
  </si>
  <si>
    <t>Письмо №548 от 30.08.2023 Изготовление по сервисному договору</t>
  </si>
  <si>
    <t>Спецификация № 8900716427 от 15.09.2023г</t>
  </si>
  <si>
    <t>10 01 3 306</t>
  </si>
  <si>
    <t>10 01 3 307</t>
  </si>
  <si>
    <t>б/договора</t>
  </si>
  <si>
    <t>БИОТОП ГРУПП</t>
  </si>
  <si>
    <t>50 03 3 312</t>
  </si>
  <si>
    <t>Ремонт колеса зубчатого ведущего Petitto Mule</t>
  </si>
  <si>
    <t>04 03 3 313</t>
  </si>
  <si>
    <t>Ремонт цепного барабана вспомогатильного привода скребкового конвейера Rybnil850</t>
  </si>
  <si>
    <t>Спецификация №ЗП-22440 от 20.09.2023г</t>
  </si>
  <si>
    <t>12 01 3 314</t>
  </si>
  <si>
    <t xml:space="preserve">под ММК </t>
  </si>
  <si>
    <t>00 01 3 315</t>
  </si>
  <si>
    <t>Спецификация № 8900722860</t>
  </si>
  <si>
    <t>01 01 3 321</t>
  </si>
  <si>
    <t>Спецификация № 8900719668</t>
  </si>
  <si>
    <t>КОМПЛЕКТ НАПРАВЛЯЮЩИХ ПРИНУДИТЕЛЬНЫХ SPR3-1300 PF4 ООО СИТК BE668509+5325509 КОНВЕЙЕР PF6</t>
  </si>
  <si>
    <t>КОНСОЛЬ СЪЕМНИКА ДЛЯ КОНЦЕВОЙ СЕКЦИИ В СБОРЕ СИТК BE 1503201 КОНВЕЙЕР PF6</t>
  </si>
  <si>
    <t>МУФТА 5114307 КОНВЕЙЕР PF6/1142</t>
  </si>
  <si>
    <t>ОПОРА ЗВЕЗДОЧКИ 5314319 КОНВЕЙЕР PF6/1342</t>
  </si>
  <si>
    <t>ПОЛУМУФТА ДУГОВАЯ ЗУБЧАТАЯ NK1603457 PF6/1142</t>
  </si>
  <si>
    <t>УЗЕЛ ПРИВОДА MR65-1100 5320018 КОНВЕЙЕР PF6/1142</t>
  </si>
  <si>
    <t>ЦЕПЕСЪЕМНИК 5408101 КОНВЕЙЕР PF6/1342</t>
  </si>
  <si>
    <t>ЦЕПЕСЪЕМНИК CAT 5410007 КОНВЕЙЕР PF6/1142</t>
  </si>
  <si>
    <t>ЦЕПЕСЪЕМНИК BE668510 КОНВЕЙЕР PF6/1142</t>
  </si>
  <si>
    <t>ЦЕПЕСЪЕМНИК DKB48*144/160-7-250 BE4863293 КОНВЕЙЕР CAT PF6/1142</t>
  </si>
  <si>
    <t>01 01 3 322</t>
  </si>
  <si>
    <t>01 01 3 323</t>
  </si>
  <si>
    <t>01 01 3 324</t>
  </si>
  <si>
    <t>01 01 3 325</t>
  </si>
  <si>
    <t>01 01 3 326</t>
  </si>
  <si>
    <t>01 01 3 327</t>
  </si>
  <si>
    <t>01 01 3 328</t>
  </si>
  <si>
    <t>01 01 3 329</t>
  </si>
  <si>
    <t>01 01 3 330</t>
  </si>
  <si>
    <t>01 01 3 331</t>
  </si>
  <si>
    <t>01 01 3 332</t>
  </si>
  <si>
    <t>01 01 3 333</t>
  </si>
  <si>
    <t>01 01 3 334</t>
  </si>
  <si>
    <t>Спецификация № 8900719683</t>
  </si>
  <si>
    <t>УЗЕЛ ПРИВОДА MR65-1100 BE672455 КОНВЕЙЕР PF6/1142 СОСТАВЛЯЮЩИЕ УЗЛА ПРИВОДА: ВАЛ, ПОДШИПНИКИ, ЗВЕЗДА, БУКСЫ ПЛИТА МОНТАЖНАЯ</t>
  </si>
  <si>
    <t>01 01 3 335</t>
  </si>
  <si>
    <t>01 01 3 336</t>
  </si>
  <si>
    <t>Ремонт декантера 40х72</t>
  </si>
  <si>
    <t>10 03 3 337</t>
  </si>
  <si>
    <t>Спецификация №8900628469 от 28.12.2022г</t>
  </si>
  <si>
    <t>Спецификация №10 от 03.10.2023г</t>
  </si>
  <si>
    <t>Ремонт редуктора J350 комбайна JOY4 LS20</t>
  </si>
  <si>
    <t>02 03 3 338</t>
  </si>
  <si>
    <t>02 03 3 339</t>
  </si>
  <si>
    <t>Спецификация № 8900726711</t>
  </si>
  <si>
    <t>01 01 4 340</t>
  </si>
  <si>
    <t>ГОК Денисовский</t>
  </si>
  <si>
    <t>нет</t>
  </si>
  <si>
    <t>НЗП</t>
  </si>
  <si>
    <t>01 01 4 342</t>
  </si>
  <si>
    <t>01 01 4 343</t>
  </si>
  <si>
    <t>01 01 4 344</t>
  </si>
  <si>
    <t>Спецификация № 8900727890</t>
  </si>
  <si>
    <t>Вал предохранительный G-1613/2</t>
  </si>
  <si>
    <t>39 01 4 345</t>
  </si>
  <si>
    <t>39 01 4 346</t>
  </si>
  <si>
    <t>Спецификация №2 от 26.09.2023</t>
  </si>
  <si>
    <t>00 01 4 347</t>
  </si>
  <si>
    <t>Спецификация №8900724144 от 26.09.2023</t>
  </si>
  <si>
    <t>Нож кпл - исп.01 (рис. 22434/2)</t>
  </si>
  <si>
    <t>07 01 4 348</t>
  </si>
  <si>
    <t>Спецификация № 100/КЕА от 05.09.2023г</t>
  </si>
  <si>
    <t>07 01 4 349</t>
  </si>
  <si>
    <t>Спецификация № 99/КЕА от 01.09.2023</t>
  </si>
  <si>
    <t>Колесо зубчатое Z6 m40, 791 (G-1914.024)</t>
  </si>
  <si>
    <t>Колесо зубчатое Z10 m46, 791 (G-1914.01), ZZM</t>
  </si>
  <si>
    <t>23  01 4 349</t>
  </si>
  <si>
    <t>23 01 4 350</t>
  </si>
  <si>
    <t>Спецификация № 3 от 06.10.2023г</t>
  </si>
  <si>
    <t>Спецификация № 101/КЕА от 05.09.2023г</t>
  </si>
  <si>
    <t>Скользун 750 №черт.W11,266-10.06/2</t>
  </si>
  <si>
    <t>07 01 4 307</t>
  </si>
  <si>
    <t>кол-во перенесено на 255, 266</t>
  </si>
  <si>
    <t>Спецификация №7 от 01.11.2023г</t>
  </si>
  <si>
    <t>12 03 4 353</t>
  </si>
  <si>
    <t>СПИРИДОНОВСКАЯ</t>
  </si>
  <si>
    <t>Спецификация №1 от 08.09.2023г</t>
  </si>
  <si>
    <t>00 03 4 354</t>
  </si>
  <si>
    <t>Ремонт редуктора планетарного PSPL-15</t>
  </si>
  <si>
    <t>ОФ Элси Сибирь</t>
  </si>
  <si>
    <t>Договор подряда №69 от 08.09.2023г</t>
  </si>
  <si>
    <t>Шестак Е.</t>
  </si>
  <si>
    <t>00 03 4 355</t>
  </si>
  <si>
    <t>Ремонт ротора и планетарного редуктора</t>
  </si>
  <si>
    <t>замена</t>
  </si>
  <si>
    <t>Вал 01069528-2116</t>
  </si>
  <si>
    <t>Спецификация №2 от 02.10.2023г</t>
  </si>
  <si>
    <t xml:space="preserve">Хоружин </t>
  </si>
  <si>
    <t>05 03 4 357</t>
  </si>
  <si>
    <t>Ремонт лыж захватных комбайна JOY 4LS20, зав.№LWS867, инв.№6379</t>
  </si>
  <si>
    <t>Спецификация №1 от 19.09.2023г</t>
  </si>
  <si>
    <t>Зубья в сборе для дробилки ДР1000Ю.00.00.000-09.1</t>
  </si>
  <si>
    <t>05 01 4 356</t>
  </si>
  <si>
    <t>Спецификация № 8900730968 от 25.10.2023г</t>
  </si>
  <si>
    <t>10 01 4 358</t>
  </si>
  <si>
    <t>00 07 4 359</t>
  </si>
  <si>
    <t>Ремонт фрезерного станка FSS315</t>
  </si>
  <si>
    <t>Спецификация № 8900736419</t>
  </si>
  <si>
    <t>01 01 4 360</t>
  </si>
  <si>
    <t>01 01 4 361</t>
  </si>
  <si>
    <t>Вал срезной S254290 SL900</t>
  </si>
  <si>
    <t>Спецификация № 8900735632</t>
  </si>
  <si>
    <t>01 01 4 362</t>
  </si>
  <si>
    <t>10 01 4 364</t>
  </si>
  <si>
    <t>Опора S262941 (СИТК.294.000.СБ)</t>
  </si>
  <si>
    <t>Фиксатор стойки основания СИТК.465.04.05.000 (01) 20шт+20шт</t>
  </si>
  <si>
    <t>Фиксатор стойки перекрытия</t>
  </si>
  <si>
    <t>б/договора, по факту завоза б/документов</t>
  </si>
  <si>
    <t>Станочная остастка для фрезерной группы, кмт</t>
  </si>
  <si>
    <t>Ремонт токарного станка ДИП500-165</t>
  </si>
  <si>
    <t>00 07 4 365</t>
  </si>
  <si>
    <t>Спецификация № 8900736690</t>
  </si>
  <si>
    <t>01 01 4 366</t>
  </si>
  <si>
    <t>ЗВЕЗДОЧКА DKB 34*126-7-330 BE668500 PF6</t>
  </si>
  <si>
    <t>Спецификация № 89007366904</t>
  </si>
  <si>
    <t>01 01 4 367</t>
  </si>
  <si>
    <t>01 01 4 368</t>
  </si>
  <si>
    <t>КМП УГОЛКОВ Р6 ДЛЯ MRHS 5325486 КОНВЕЙЕР PF6/1142</t>
  </si>
  <si>
    <t>01 01 4 369</t>
  </si>
  <si>
    <t>01 01 4 370</t>
  </si>
  <si>
    <t>Вал приводной 130312 PF-4/1132</t>
  </si>
  <si>
    <t>Спецификация № 8900736697</t>
  </si>
  <si>
    <t>01 01 4 373</t>
  </si>
  <si>
    <t>Вал регулировочный 185 ФППЗ.МЧ.52 ФПП-3000МЧ</t>
  </si>
  <si>
    <t>01 01 4 372</t>
  </si>
  <si>
    <t>Вал S-ой зоны S7 185 ФППЗ.МЧ.47 ФПП-3000МЧ</t>
  </si>
  <si>
    <t>Спецификация № 8900736817</t>
  </si>
  <si>
    <t>Спецификация № 8900736975</t>
  </si>
  <si>
    <t>01 01 4 374</t>
  </si>
  <si>
    <t>Штифт срезной 10395 центрифуга DECANTER 40*72</t>
  </si>
  <si>
    <t>01 01 4 375</t>
  </si>
  <si>
    <t>Валок WXGHLB7</t>
  </si>
  <si>
    <t>Спецификация № 8900737755</t>
  </si>
  <si>
    <t>Договор №СУЭК-КУЗ-КОТ-23/4338У от 09.10.2023</t>
  </si>
  <si>
    <t>01 03 4 376</t>
  </si>
  <si>
    <t>Договор №СУЭК-КУЗ-ОФ2КИР-23/3610У</t>
  </si>
  <si>
    <t>01 03 4 377</t>
  </si>
  <si>
    <t>Ремонт конуса отсадочной машины BATAK</t>
  </si>
  <si>
    <t>49 01 4 378</t>
  </si>
  <si>
    <t>Вал с гайкой к центрифуге ТНС-12001</t>
  </si>
  <si>
    <t>Спецификация №13 от 09.11.2023</t>
  </si>
  <si>
    <t>Спецификация №11 от 08.06.2023</t>
  </si>
  <si>
    <t>Ремонт ротора 44х132 инв.№420111</t>
  </si>
  <si>
    <t>00 03 4 379</t>
  </si>
  <si>
    <t>01 01 4 371</t>
  </si>
  <si>
    <t>Спецификация № 8900736699</t>
  </si>
  <si>
    <t>12 01 4 380</t>
  </si>
  <si>
    <t>Спецификация №ЗП-24594 от 16.11.2023г</t>
  </si>
  <si>
    <t>Втулка 1000511004 (под одинарный привод)</t>
  </si>
  <si>
    <t>на склад</t>
  </si>
  <si>
    <t>12 01 4 381</t>
  </si>
  <si>
    <t>12 01 4 383</t>
  </si>
  <si>
    <t>Звездочка 100051103 (под одинарный привод)</t>
  </si>
  <si>
    <t>12 01 4 385</t>
  </si>
  <si>
    <t>Спецификация №ЗП-24615 от 17.11.2023г</t>
  </si>
  <si>
    <t>Вал предохранительный G-250.141.003/5</t>
  </si>
  <si>
    <t>Вал срезной S253055</t>
  </si>
  <si>
    <t>Спецификация №1 от 16.11.2023г</t>
  </si>
  <si>
    <t>19 01 4 386</t>
  </si>
  <si>
    <t>Колесо цевочное S285223Z 00</t>
  </si>
  <si>
    <t>19 01 4 387</t>
  </si>
  <si>
    <t>Вал срезной поворотного редуктора S253055 00</t>
  </si>
  <si>
    <t>10 01 4 388</t>
  </si>
  <si>
    <t>Лыжа забойная S253003 SL-300</t>
  </si>
  <si>
    <t>Спецификация №14 от 27.11.2023</t>
  </si>
  <si>
    <t>49 01 4 389</t>
  </si>
  <si>
    <t>Вал срезной СИТК.00.064</t>
  </si>
  <si>
    <t>ТРЕТЬЯКОВСКАЯ</t>
  </si>
  <si>
    <t>Договор поставки №43/11-2023ТП от 24.11.2023г</t>
  </si>
  <si>
    <t>51 01 4 391</t>
  </si>
  <si>
    <t>00 01 4 390</t>
  </si>
  <si>
    <t>Вал предохранительный поворотного редуктора FS400 203-024376-N</t>
  </si>
  <si>
    <t>декабрь 2023г</t>
  </si>
  <si>
    <t>отмена от 01.12.2023</t>
  </si>
  <si>
    <t>01 01 4 393</t>
  </si>
  <si>
    <t>Спецификация № 8900743718</t>
  </si>
  <si>
    <t>01 01 4 394</t>
  </si>
  <si>
    <t>01 01 4 395</t>
  </si>
  <si>
    <t>Вал срезной S252748 (Вал срезной S253055)</t>
  </si>
  <si>
    <t>Спецификация № 8900743710</t>
  </si>
  <si>
    <t>переименование</t>
  </si>
  <si>
    <t>Спецификация №1 от 20.11.2023</t>
  </si>
  <si>
    <t>Ремонт вибровозбудителя HAVER NIAGARA YD55 поз.62</t>
  </si>
  <si>
    <t>Ремонт вибровозбудителя HAVER NIAGARA YD55 поз.701</t>
  </si>
  <si>
    <t>Ремонт вибровозбудителя BIRTLEY поз.300</t>
  </si>
  <si>
    <t>Ремонт вибровозбудителя ГИСЛ 62 поз.76</t>
  </si>
  <si>
    <t>Ремонт вибровозбудителя ГИСЛ 62 поз.81</t>
  </si>
  <si>
    <t>Ремонт вибровозбудителя ГИСЛ 62 поз.81/1</t>
  </si>
  <si>
    <t>ЭЛСИ</t>
  </si>
  <si>
    <t>47 03 4 396</t>
  </si>
  <si>
    <t>47 03 4 397</t>
  </si>
  <si>
    <t>47 03 4 398</t>
  </si>
  <si>
    <t>47 03 4 399</t>
  </si>
  <si>
    <t>АНЖЕРСКАЯ-ЮЖНАЯ</t>
  </si>
  <si>
    <t>Договор поставки № УК А-Ю-20-26 от 18.03.2020</t>
  </si>
  <si>
    <t>Спецификация № 5 от 07.11.2023</t>
  </si>
  <si>
    <t>21 01 4 400</t>
  </si>
  <si>
    <t xml:space="preserve">Вал СИТК.00.111 аналог, вал торсионный SG8W562M-4В 250кВТ 114В (203-026506-N) </t>
  </si>
  <si>
    <t>04 01 4 401</t>
  </si>
  <si>
    <t>Крепеж к бойку ДУ910.38.011А (болт ДУ910.38.003, гайка ДУ.38.014 , винт ДУ910.38.005), кмт</t>
  </si>
  <si>
    <t>Спецификация №9 от 24.011.2023</t>
  </si>
  <si>
    <t>Ремонт звездочки 00571157-0062 комбайна JOY4LS20</t>
  </si>
  <si>
    <t>05 03 4 402</t>
  </si>
  <si>
    <t>Спецификация №3 от 02.10.2023г</t>
  </si>
  <si>
    <t>10 01 4 403</t>
  </si>
  <si>
    <t>Распорка SNO77258 MB432</t>
  </si>
  <si>
    <t>10 01 4 404</t>
  </si>
  <si>
    <t>Плужок 10371</t>
  </si>
  <si>
    <t>Спецификация № 8900737299 от 15.11.2023г</t>
  </si>
  <si>
    <t>Спецификация № 8900743923 от 05.12.2023г</t>
  </si>
  <si>
    <t>12 01 4 392</t>
  </si>
  <si>
    <t>спецификация №ЗП-25116</t>
  </si>
  <si>
    <t>00 01 4 405</t>
  </si>
  <si>
    <t>запрос производства</t>
  </si>
  <si>
    <t>Ремонт редуктора внешнего барабана режущего органа МВ-670 зав.295 инв.№СО54558</t>
  </si>
  <si>
    <t>Спецификация №10 от 01.02.2023</t>
  </si>
  <si>
    <t>04 01 4 405</t>
  </si>
  <si>
    <t>Ремонт редуктора внешнего барабана режущего органа комбайна проходческого МБ-1670 инв.№СО54570</t>
  </si>
  <si>
    <t>Договор №СУЭК-КУЗ-Т32-23/4659У от 03.11.2023</t>
  </si>
  <si>
    <t>01 04 4 406</t>
  </si>
  <si>
    <t>12 03 4 407</t>
  </si>
  <si>
    <t>Спецификация №3 от 24.11.2023</t>
  </si>
  <si>
    <t>00 01 4 408</t>
  </si>
  <si>
    <t>Колесо цевочное 03069850-2007</t>
  </si>
  <si>
    <t>01 01 4 409</t>
  </si>
  <si>
    <t>Вал приводной 286 ФППЗ.МЧ.40. ФППЗ-3000МЧ</t>
  </si>
  <si>
    <t>Спецификация № 8900740940</t>
  </si>
  <si>
    <t>Цепесъемник DKB34*126-7Z-КА130 668313</t>
  </si>
  <si>
    <t>Спецификация № 8900739321 от 30.11.2023г</t>
  </si>
  <si>
    <t>10 01 4 410</t>
  </si>
  <si>
    <t>10 01 4 411</t>
  </si>
  <si>
    <t>00 01 4 412</t>
  </si>
  <si>
    <t>12 01 4 413</t>
  </si>
  <si>
    <t>12 01 4 414</t>
  </si>
  <si>
    <t>12 01 4 415</t>
  </si>
  <si>
    <t>12 01 4 416</t>
  </si>
  <si>
    <t>12 01 4 417</t>
  </si>
  <si>
    <t>Спецификация №ЗП-25746 от 14.12.2023г</t>
  </si>
  <si>
    <t>20сч</t>
  </si>
  <si>
    <t>01 01 4 418</t>
  </si>
  <si>
    <t>Спецификация № 8900749313</t>
  </si>
  <si>
    <t>ЮЖНЫЙ КУЗБАСС</t>
  </si>
  <si>
    <t>11 01 4 419</t>
  </si>
  <si>
    <t>11 01 4 420</t>
  </si>
  <si>
    <t>Гайка специальная ДУ910М.08.002</t>
  </si>
  <si>
    <t>Спецификация №9Д от 08.12.2023г</t>
  </si>
  <si>
    <t>Наумов Д.В.</t>
  </si>
  <si>
    <t>00 07 4 421</t>
  </si>
  <si>
    <t>Опора закладная ТК.163.00.000</t>
  </si>
  <si>
    <t>и в цехе и на выезде</t>
  </si>
  <si>
    <t>Спецификация №15 от 25.12.2023</t>
  </si>
  <si>
    <t>49 01 4 426</t>
  </si>
  <si>
    <t>Уголок упорный для MPHS35 для PF4/1132, кмт</t>
  </si>
  <si>
    <t>ТЯНЬДИ РУС</t>
  </si>
  <si>
    <t>00 03 4 422</t>
  </si>
  <si>
    <t>Ремонт редуктора SIEMENS</t>
  </si>
  <si>
    <t>00 03 4 423</t>
  </si>
  <si>
    <t>00 03 4 424</t>
  </si>
  <si>
    <t>Ремонт блока звезды лавного конвейера</t>
  </si>
  <si>
    <t>00 03 4 425</t>
  </si>
  <si>
    <t>Ремонт блока звезды лавного перегружателя</t>
  </si>
  <si>
    <t>Спецификация №1 от 21.12.2023г</t>
  </si>
  <si>
    <t>Спецификация №2 от 21.12.2023г</t>
  </si>
  <si>
    <t>12 01 4 428</t>
  </si>
  <si>
    <t>12 01 4 436</t>
  </si>
  <si>
    <t>Спецификация №ЗП-26184 от 22.12.2023г</t>
  </si>
  <si>
    <t>12 01 4 426</t>
  </si>
  <si>
    <t>12 01 4 427</t>
  </si>
  <si>
    <t>12 01 4 429</t>
  </si>
  <si>
    <t>12 01 4 430</t>
  </si>
  <si>
    <t>12 01 4 431</t>
  </si>
  <si>
    <t>12 01 4 432</t>
  </si>
  <si>
    <t>12 01 4 433</t>
  </si>
  <si>
    <t>12 01 4 434</t>
  </si>
  <si>
    <t>12 01 4 435</t>
  </si>
  <si>
    <t>январь 2024г</t>
  </si>
  <si>
    <t>Звездочка 5114187</t>
  </si>
  <si>
    <t>10 01 2 215</t>
  </si>
  <si>
    <t>Спецификация №8900554941 от 20.05.2022г. к Договору поставки №УРГАЛ-22/116М от 04.02.2022</t>
  </si>
  <si>
    <t>отгрузка 11.07.2023г</t>
  </si>
  <si>
    <t>Ходжанжиев О.В.</t>
  </si>
  <si>
    <t>Стол ТК.164.01.000</t>
  </si>
  <si>
    <t>Стол ТК.164.02.000</t>
  </si>
  <si>
    <t>00 07 1 001</t>
  </si>
  <si>
    <t>00 07 1 002</t>
  </si>
  <si>
    <t>Войко Ю.Л.</t>
  </si>
  <si>
    <t>Ролик на люнет ДИП300, кмт</t>
  </si>
  <si>
    <t>Распорка на ДИП500</t>
  </si>
  <si>
    <t>Ограждение боковое и переднее на фрезерный станок, кмт</t>
  </si>
  <si>
    <t>00 07 1 003</t>
  </si>
  <si>
    <t>00 07 1 004</t>
  </si>
  <si>
    <t>00 07 1 005</t>
  </si>
  <si>
    <t>Спецификация № 8900746612 от 22.12.2023г</t>
  </si>
  <si>
    <t>10 01 1 006</t>
  </si>
  <si>
    <t>Фиксатор домкрата 100550248 JOY 2*1050</t>
  </si>
  <si>
    <t>10 01 1 007</t>
  </si>
  <si>
    <t>Штифт стопорный 100543179 JOY 15/35</t>
  </si>
  <si>
    <t>Спецификация №4 от 15.01.2024</t>
  </si>
  <si>
    <t>12 03 1 008</t>
  </si>
  <si>
    <t>СИБИРСКАЯ</t>
  </si>
  <si>
    <t>ремонт вала приводного 161373</t>
  </si>
  <si>
    <t>Спецификация № 2 от 19.09.2023г</t>
  </si>
  <si>
    <t>49 03 1 081</t>
  </si>
  <si>
    <t>01 01 1 009</t>
  </si>
  <si>
    <t>Узел привода MR65-1100 5320018 конвейер PF6/1142</t>
  </si>
  <si>
    <t>Спецификация № 8900758373</t>
  </si>
  <si>
    <t>01 01 1 010</t>
  </si>
  <si>
    <t>Звездочка DKB 34х126-7-330 5408100 конвейер PF-6</t>
  </si>
  <si>
    <t>01 01 1 011</t>
  </si>
  <si>
    <t>01 01 1 012</t>
  </si>
  <si>
    <t>Вал S262640 комбайн SL-300</t>
  </si>
  <si>
    <t>Спецификация № 8900760785</t>
  </si>
  <si>
    <t>Спецификация № 8900760788</t>
  </si>
  <si>
    <t>Спецификация № 8900761780</t>
  </si>
  <si>
    <t>аннулирован, письмо от 26.01.2024 №043</t>
  </si>
  <si>
    <t>февраль 2024г</t>
  </si>
  <si>
    <t>01 01 1 013</t>
  </si>
  <si>
    <t>01 01 1 014</t>
  </si>
  <si>
    <t>Спецификация № 8900762083</t>
  </si>
  <si>
    <t>Спецификация № 8900762090</t>
  </si>
  <si>
    <t>ПРИМОРСКУГОЛЬ</t>
  </si>
  <si>
    <t>24 01 1 015</t>
  </si>
  <si>
    <t>Муфта N-EUPEX DBD280</t>
  </si>
  <si>
    <t>24 01 1 016</t>
  </si>
  <si>
    <t>Барабан цепной 2*34*126*Z5*24.659.000.000</t>
  </si>
  <si>
    <t>Спецификация №8900765540 от 06.02.2023г</t>
  </si>
  <si>
    <t>Приказ №78 от 28.12.2023</t>
  </si>
  <si>
    <t>Экспериментальный образец</t>
  </si>
  <si>
    <t>00 05 1 017</t>
  </si>
  <si>
    <t>Нож воздушный СИТК.501.100.00.000</t>
  </si>
  <si>
    <t>Ходжандиев О.В.</t>
  </si>
  <si>
    <t>01 01 1 020</t>
  </si>
  <si>
    <t>01 01 1 022</t>
  </si>
  <si>
    <t>доделка к письму от 09.10.2023г</t>
  </si>
  <si>
    <t>49 01 1 021</t>
  </si>
  <si>
    <t>Звездочка в сборе DKB 42x146-7z-KA165-972 BE112152 511-41-87-CAT к скребковому конвейеру PF-4</t>
  </si>
  <si>
    <t>Спецификация №16 от 07.02.2024</t>
  </si>
  <si>
    <t>01 01 1 023</t>
  </si>
  <si>
    <t>Полоз скользящий S280062 SL900</t>
  </si>
  <si>
    <t>Спецификация № 8900768708</t>
  </si>
  <si>
    <t>Договор сервисного обслуживания от 2023г</t>
  </si>
  <si>
    <t>01 01 1 024</t>
  </si>
  <si>
    <t>Спецификация №4 от 10.10.2023</t>
  </si>
  <si>
    <t xml:space="preserve">б/договора </t>
  </si>
  <si>
    <t>82 038,65</t>
  </si>
  <si>
    <t>1 756 838,03</t>
  </si>
  <si>
    <t>Спецификация №8900628782 от 18.01.2023г</t>
  </si>
  <si>
    <t>Спецификация № 95/КЕА от 14.08.2023г</t>
  </si>
  <si>
    <t>Спецификация № 94/КЕА от 04.08.2023г</t>
  </si>
  <si>
    <t xml:space="preserve">Остановка работ </t>
  </si>
  <si>
    <t>б/письма</t>
  </si>
  <si>
    <t>Остановка работ!!!!!!!!!!!!</t>
  </si>
  <si>
    <t>Нож 22434/2 W02 к дробилке Scorpion 3000Р</t>
  </si>
  <si>
    <t>00 01 1 025</t>
  </si>
  <si>
    <t>ОФ Элси Сибирь (Листвянская)</t>
  </si>
  <si>
    <t>47 03 1 026</t>
  </si>
  <si>
    <t>Ремонт вибровозбудителя HAVER BOECKER HB55 поз.701</t>
  </si>
  <si>
    <t>47 03 1 027</t>
  </si>
  <si>
    <t>Ремонт вибровозбудителя BIRTLEY BE3200 поз.300</t>
  </si>
  <si>
    <t>Спецификация №2 от 19.01.2024</t>
  </si>
  <si>
    <t>01 01 1 028</t>
  </si>
  <si>
    <t>Спецификация № 8900768710</t>
  </si>
  <si>
    <t>Консоль сварочная ТК.172.000</t>
  </si>
  <si>
    <t>00 07 1 029</t>
  </si>
  <si>
    <t>51 01 1 030</t>
  </si>
  <si>
    <t>Кривских</t>
  </si>
  <si>
    <t>Спецификация №2 от 19.02.2024г</t>
  </si>
  <si>
    <t>Ворота, согласно ТЗ</t>
  </si>
  <si>
    <t>Спецификация № 8900773743</t>
  </si>
  <si>
    <t>01 01 1 031</t>
  </si>
  <si>
    <t>аннулиован письмо №125 от 26.02.2024</t>
  </si>
  <si>
    <t>51 01 1 033</t>
  </si>
  <si>
    <t>Валок Ø11,25 GH30-11</t>
  </si>
  <si>
    <t>51 01 1 034</t>
  </si>
  <si>
    <t>Валок Ø9,125 WXGH-9</t>
  </si>
  <si>
    <t>51 01 1 035</t>
  </si>
  <si>
    <t>Валок Ø24,5 GH30-24</t>
  </si>
  <si>
    <t>51 01 1 036</t>
  </si>
  <si>
    <t>Валок Ø13,25 GH30-13</t>
  </si>
  <si>
    <t>51 01 1 037</t>
  </si>
  <si>
    <t>Валок ведущий Ø11,125 GН31190</t>
  </si>
  <si>
    <t>51 01 1 038</t>
  </si>
  <si>
    <t>Валок Ø7,125 WXGHLB7-L</t>
  </si>
  <si>
    <t>Спецификация №3 от 26.02.2024г</t>
  </si>
  <si>
    <t>01 01 1 018</t>
  </si>
  <si>
    <t>01 01 1 019</t>
  </si>
  <si>
    <t>49 01 1 032</t>
  </si>
  <si>
    <t>Вал предохранительный S 253 055 00</t>
  </si>
  <si>
    <t>Спецификация №17 от 26.02.2024</t>
  </si>
  <si>
    <t>Спецификация №14 от 07.02.2024</t>
  </si>
  <si>
    <t>10 01 1 039</t>
  </si>
  <si>
    <t>Втулка вала 36102940</t>
  </si>
  <si>
    <t>март 2024г</t>
  </si>
  <si>
    <t>12 03 1 040</t>
  </si>
  <si>
    <t>Ремонт лыжи для балки передвижки</t>
  </si>
  <si>
    <t>по сроку</t>
  </si>
  <si>
    <t>Спецификация №5 от 22.02.2024</t>
  </si>
  <si>
    <t>Пресс гидравлический СИТК.505.00.000.СБ</t>
  </si>
  <si>
    <t>00 07 01 043</t>
  </si>
  <si>
    <t>ЦЕХ №2</t>
  </si>
  <si>
    <t>Инаглинский</t>
  </si>
  <si>
    <t>44 01 1 044</t>
  </si>
  <si>
    <t>Сегмент 5-зубчатый спральный 6250164-01 TF146250164</t>
  </si>
  <si>
    <t>44 01 1 045</t>
  </si>
  <si>
    <t>Сегмент 5-зубчатый спральный 6250164-01 TF146250165</t>
  </si>
  <si>
    <t>44 01 1 046</t>
  </si>
  <si>
    <t>Шайба 1543130-01</t>
  </si>
  <si>
    <t>44 01 1 047</t>
  </si>
  <si>
    <t>Блестка М24 400580001</t>
  </si>
  <si>
    <t>Спецификаци №1 от 22.02.2024</t>
  </si>
  <si>
    <t>10 01 1 041</t>
  </si>
  <si>
    <t>10 01 1 042</t>
  </si>
  <si>
    <t>ВАННА ВЕРХНЕЙ ВЕТВИ 685833</t>
  </si>
  <si>
    <t>Спецификация № 8900773762 от 27.02.2024г</t>
  </si>
  <si>
    <t>отмена Ходжандиев О.В.</t>
  </si>
  <si>
    <t>01 01 1 048</t>
  </si>
  <si>
    <t>01 01 1 049</t>
  </si>
  <si>
    <t>Лыжа забойная S235003</t>
  </si>
  <si>
    <t>01 01 1 050</t>
  </si>
  <si>
    <t>Спецификация № 8900781383</t>
  </si>
  <si>
    <t>Спецификация № 8900781382</t>
  </si>
  <si>
    <t>Спецификация № 8900781379</t>
  </si>
  <si>
    <t>36 01 1 051</t>
  </si>
  <si>
    <t>Нож 22434/2 W02 к дробилке SCORPION 3000P</t>
  </si>
  <si>
    <t>Приложение №17М/4501101383 от 01.03.2024</t>
  </si>
  <si>
    <t>БОЛЬШЕВИК</t>
  </si>
  <si>
    <t>Спецификация №5 от 01.03.2024</t>
  </si>
  <si>
    <t>27 01 1 052</t>
  </si>
  <si>
    <t>Зуб ДР1000Ю.30.12.000 (в комплекте: гайка ДР1000Ю.30.10.002, стопор Р1000Ю.30.10.004)</t>
  </si>
  <si>
    <t>Кучеренко В.Ю.</t>
  </si>
  <si>
    <t>Стол для слесарных работ</t>
  </si>
  <si>
    <t>00 07 1 053</t>
  </si>
  <si>
    <t>Спецификация №6 от 15.03.2024</t>
  </si>
  <si>
    <t>12 03 1 054</t>
  </si>
  <si>
    <t>ЛИЧНЫЕ ЗАКАЗЫ</t>
  </si>
  <si>
    <t>00 00 1 055</t>
  </si>
  <si>
    <t>Комплект деталей</t>
  </si>
  <si>
    <t>Пермикин</t>
  </si>
  <si>
    <t>Звезда хода 100168053</t>
  </si>
  <si>
    <t>отгрузка 13.04.2023</t>
  </si>
  <si>
    <t>36 01 4 448</t>
  </si>
  <si>
    <t>приказ №20 от 29.02.2024г</t>
  </si>
  <si>
    <t>24 01 1 056</t>
  </si>
  <si>
    <t>Выбрасыватель 24.051.050.000</t>
  </si>
  <si>
    <t>24 01 1 057</t>
  </si>
  <si>
    <t>Выбрасыватель 24.075.020.000</t>
  </si>
  <si>
    <t>Спецификация №8900784033 от 25.03.2024г</t>
  </si>
  <si>
    <t>Спецификация №2 от 26.09.2023г. к Договору поставки №ША114/2023 от 15.08.2023г.</t>
  </si>
  <si>
    <t>Приказ№25 от 20.03.24</t>
  </si>
  <si>
    <t>отгрузка 05.12.2023</t>
  </si>
  <si>
    <t>КРАСНОКАМЕНСКАЯ</t>
  </si>
  <si>
    <t>Спецификация №3 от 05.03.2024</t>
  </si>
  <si>
    <t>41 01 1 058</t>
  </si>
  <si>
    <t>Вал выравнивающий 7,125 (4/1)</t>
  </si>
  <si>
    <t>01 01 1 059</t>
  </si>
  <si>
    <t>Спецификация № 8900786041</t>
  </si>
  <si>
    <t>отмена Хоружин А.В. от 26.03.2024</t>
  </si>
  <si>
    <t>00 01 1 060</t>
  </si>
  <si>
    <t>Нож 22434/1 дробилки Scorpion 1800</t>
  </si>
  <si>
    <t>Спецификация №3 от 27.03.2024</t>
  </si>
  <si>
    <t>Спецификация № 4 от 15.03.2022г. к Договору поставки №И356П21 от 11.01.2021</t>
  </si>
  <si>
    <t>Приказ№27 от 27.03.24</t>
  </si>
  <si>
    <t>04 01 2 220</t>
  </si>
  <si>
    <t>Барабан дробильный 3000 в комплекте с ременным колесом для дробилки SCORPION 3000Р</t>
  </si>
  <si>
    <t>отгрузка 07.08.2023</t>
  </si>
  <si>
    <t>ШАХТА ЮБИЛЕЙНАЯ</t>
  </si>
  <si>
    <t>04 03 1 061</t>
  </si>
  <si>
    <t>04 03 1 062</t>
  </si>
  <si>
    <t>Дефектовка барабана разгрузочного привода 950</t>
  </si>
  <si>
    <t>Дефектовка вала приводного конвейера  Анжера -34</t>
  </si>
  <si>
    <t>апрель 2024г</t>
  </si>
  <si>
    <t>10 01 2 063</t>
  </si>
  <si>
    <t>10 01 2 064</t>
  </si>
  <si>
    <t>Спецификация № 8900780287 от 22.03.2024г</t>
  </si>
  <si>
    <t>ВОРКУТАУГОЛЬ</t>
  </si>
  <si>
    <t>46 01 2 065</t>
  </si>
  <si>
    <t>Цепесъемник КОРЕХ 24.051.050.000</t>
  </si>
  <si>
    <t>46 01 2 066</t>
  </si>
  <si>
    <t>Нож кпл. КОРЕХ 22434</t>
  </si>
  <si>
    <t>Спецификация №4510832747 от 27.03.2024</t>
  </si>
  <si>
    <t>36 01 2 067</t>
  </si>
  <si>
    <t>Штифт DECANTER K1000 ч.10495</t>
  </si>
  <si>
    <t>Счет-догово №10В от 28.03.2024</t>
  </si>
  <si>
    <t>49 01 2 068</t>
  </si>
  <si>
    <t>Звездочка приводная 34х126-7Z</t>
  </si>
  <si>
    <t>49 01 2 069</t>
  </si>
  <si>
    <t>Опора звездочки 126-5Z</t>
  </si>
  <si>
    <t>49 01 2 070</t>
  </si>
  <si>
    <t>Спецификация №18 от 27.03.2024</t>
  </si>
  <si>
    <t>Дмитриенко Е.</t>
  </si>
  <si>
    <t>51 01 2 071</t>
  </si>
  <si>
    <t>Червячная пара в комплекте с подшипниками</t>
  </si>
  <si>
    <t>1шт 24.04, 1шт-22.05</t>
  </si>
  <si>
    <t>Спецификация №5 от 03.04.2024г</t>
  </si>
  <si>
    <t>Изготовление шпон-паза звезды привода ленточного конвейера</t>
  </si>
  <si>
    <t>Палец полумуфты привода ленточного конвейера</t>
  </si>
  <si>
    <t>51 01 2 072</t>
  </si>
  <si>
    <t>51 05 2 073</t>
  </si>
  <si>
    <t>Кривских Ю</t>
  </si>
  <si>
    <t>00 07 2 074</t>
  </si>
  <si>
    <t>Приспособление для монтажа приводных валов</t>
  </si>
  <si>
    <t>ЮЖНАЯ</t>
  </si>
  <si>
    <t>Ремонт рамы крестовой MRKR 35-1100/1300</t>
  </si>
  <si>
    <t>Ремонт рамы приводной MRKR 35-1100/1300</t>
  </si>
  <si>
    <t>Ремонт рамы приводной SPR3/1000</t>
  </si>
  <si>
    <t>52 03 2 074</t>
  </si>
  <si>
    <t>52 03 2 075</t>
  </si>
  <si>
    <t>52 03 2 076</t>
  </si>
  <si>
    <t>Спецификация №1 от 05.04.2024</t>
  </si>
  <si>
    <t>Спецификация №8 от 08.04.2024</t>
  </si>
  <si>
    <t>51 01 2 077</t>
  </si>
  <si>
    <t>Спецификация № 1 от 08.09.2023г. к Договору № 69 от 08.09.2023г.</t>
  </si>
  <si>
    <t>Ремонт Осадительно-фильтрующей центрифуги "Декантер 44*132"</t>
  </si>
  <si>
    <t>отгрузка 06.12.2023</t>
  </si>
  <si>
    <t>36 01 2 078</t>
  </si>
  <si>
    <t>Приложение №18М/4501332913 от 01.04.2024</t>
  </si>
  <si>
    <t>КОЗЫРЕК_А-34.80РМ.БР.01.03.000-01_685Х300 мм_В КТ С КРЕПЕЖНЫМИ ЭЛЕМЕНТАМИ</t>
  </si>
  <si>
    <t>ВАЛ_ШЛИЦЕВОЙ 01069528-0529</t>
  </si>
  <si>
    <t>ВАЛ_ШЛИЦЕВОЙ 01069528-2156</t>
  </si>
  <si>
    <t xml:space="preserve">ПАЛЕЦ_PIN, SHOULDERED_ЦИЛИНДРИЧЕСК
ИЙ _01069428-0077_ОЧИСТНОЙ КОМБАЙН
4LS20 (СНБ|503|00091508)
</t>
  </si>
  <si>
    <t xml:space="preserve">Съемник А-34.80РМ.БР.01.02.000-02(-03) КонвейераАнжера 34 </t>
  </si>
  <si>
    <t xml:space="preserve">Утюг А-30.56РМ.01.04.000 Конвейера Анжера 343|00092372) </t>
  </si>
  <si>
    <t>Утюг А-30.56РМ.01.04.000-01 Конвейера Анжера (СНБ|503|00092373)</t>
  </si>
  <si>
    <t xml:space="preserve">Утюг АМЗ 4.21.120РМ.02.000 Конвейера Анжера 34 (СНБ|503|00092374) </t>
  </si>
  <si>
    <t>ПАЛЕЦ_ЦИЛИНДРИЧЕСКИЙ _01069427-2016 PIN, HEADED,(METRIC)_КОМБАЙН 4LS-20 (СНБ|503|00018135)</t>
  </si>
  <si>
    <t xml:space="preserve">ПАЛЕЦ_ЦИЛИНДРИЧЕСКИЙ _01069432-1058_КОМБАЙН 4LS-20 (СНБ|503|00018132)
1058_КОМБАЙН 4LS-20 (СНБ|503|00018132)
</t>
  </si>
  <si>
    <t xml:space="preserve">Втулка А-307Л.130.00.004Г Конвейера Анжера 34 СНБ|503|00092481
</t>
  </si>
  <si>
    <t>12 01 2 079</t>
  </si>
  <si>
    <t>12 01 2 080</t>
  </si>
  <si>
    <t>12 01 2 081</t>
  </si>
  <si>
    <t>12 01 2 082</t>
  </si>
  <si>
    <t>12 01 2 083</t>
  </si>
  <si>
    <t>12 01 2 084</t>
  </si>
  <si>
    <t>12 01 2 086</t>
  </si>
  <si>
    <t>12 01 2 087</t>
  </si>
  <si>
    <t>12 01 2 088</t>
  </si>
  <si>
    <t>12 01 2 089</t>
  </si>
  <si>
    <t>12 01 2 090</t>
  </si>
  <si>
    <t>12 01 2 091</t>
  </si>
  <si>
    <t>12 01 2 092</t>
  </si>
  <si>
    <t>12 01 2 093</t>
  </si>
  <si>
    <t>Вал шлицевой 01069528-2145 Комбайн JOY4LS20 (СНБ|503|00092342)</t>
  </si>
  <si>
    <t xml:space="preserve">ТЕХН_В/ПР СРЕЗНОЙ ПАЛЕЦ Ф60*180 PART.NoГТМ-70.00.11 ГТМ-70.00.11
(СНБ|503|00011611)
</t>
  </si>
  <si>
    <t>Спецификация №ЗП-30229 от 12.04.2024г</t>
  </si>
  <si>
    <t>Спецификация №3 от 15.04.2024г</t>
  </si>
  <si>
    <t>53 03 2 086</t>
  </si>
  <si>
    <t>Спецификация № 8900796003</t>
  </si>
  <si>
    <t>01 01 2 094</t>
  </si>
  <si>
    <t>Ремонт ротора №ЭМЗ 289-52М</t>
  </si>
  <si>
    <t>Ремонт ротора №1421</t>
  </si>
  <si>
    <t>Ремонт редуктора планетарного</t>
  </si>
  <si>
    <t>11 03 2 095</t>
  </si>
  <si>
    <t>11 03 2 096</t>
  </si>
  <si>
    <t>11 03 2 097</t>
  </si>
  <si>
    <t>39 01 2 098</t>
  </si>
  <si>
    <t>Вал предохранительный СИТК.00.068</t>
  </si>
  <si>
    <t>39 01 2 099</t>
  </si>
  <si>
    <t>39 01 2 100</t>
  </si>
  <si>
    <t>Штырь делимый G-1416/1</t>
  </si>
  <si>
    <t>Спецификация №4 от 29.03.2024</t>
  </si>
  <si>
    <t>27 01 2 101</t>
  </si>
  <si>
    <t>Вал предохранительный SG8W 562M-4) исп.1 (203-024376-N)</t>
  </si>
  <si>
    <t>27 01 2 102</t>
  </si>
  <si>
    <t>Лыжа 416-000448-N Полоз скользящий 416-000448-N</t>
  </si>
  <si>
    <t>27 01 2 103</t>
  </si>
  <si>
    <t>Вал предохранительный К3-43-158 (203-002960-N)</t>
  </si>
  <si>
    <t>27 01 2 104</t>
  </si>
  <si>
    <t>Вал срезной 25187 (203-022788-N) СИТК.00.080 (Вал предохранительный SG8W 562M-4) исп.1 (203-024376-N))</t>
  </si>
  <si>
    <t>Спецификация №6 от 29.03.2024</t>
  </si>
  <si>
    <t>Тележка ТК.177.00.000</t>
  </si>
  <si>
    <t>00 07 2 105</t>
  </si>
  <si>
    <t>цех №2</t>
  </si>
  <si>
    <t>май 2024г</t>
  </si>
  <si>
    <t>ТД МЕРКУРИЙ</t>
  </si>
  <si>
    <t>17 01 2 106</t>
  </si>
  <si>
    <t>Вал -шестерня цевочная Z-6 К750Ю.17.30.001^Ш02436</t>
  </si>
  <si>
    <t>17 01 2 107</t>
  </si>
  <si>
    <t>Колесо цевочное в сборе Z-10 К750Ю.17.20.000^Ш02436</t>
  </si>
  <si>
    <t>24.06-1шт, 24.07-1шт</t>
  </si>
  <si>
    <t>07.06-1шт, 09.07-1шт</t>
  </si>
  <si>
    <t>Спецификация №1 от 26.04.2024</t>
  </si>
  <si>
    <t>44 01 2 108</t>
  </si>
  <si>
    <t>44 01 02 109</t>
  </si>
  <si>
    <t>44 01 2 110</t>
  </si>
  <si>
    <t>44 01 2 111</t>
  </si>
  <si>
    <t>Спецификация №48739 от 24.04.2024</t>
  </si>
  <si>
    <t>10 01 2 112</t>
  </si>
  <si>
    <t>Головка поворотная ударная 680700 PF4/1132</t>
  </si>
  <si>
    <t>10 01 2 113</t>
  </si>
  <si>
    <t>Звездочка 5114187 конвейер PF4/1132</t>
  </si>
  <si>
    <t>10 01 2 114</t>
  </si>
  <si>
    <t>10 01 2 115</t>
  </si>
  <si>
    <t>Спецификация № 8900799602</t>
  </si>
  <si>
    <t>Спецификация № 8900799604</t>
  </si>
  <si>
    <t>01 01 2 116</t>
  </si>
  <si>
    <t>Спецификация № 8900801234</t>
  </si>
  <si>
    <t>Листвянская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</si>
</sst>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_-* #,##0_р_._-;\-* #,##0_р_._-;_-* &quot;-&quot;??_р_._-;_-@_-"/>
    <numFmt numFmtId="167" formatCode="dd/mm/yy;@"/>
    <numFmt numFmtId="168" formatCode="00,000,000"/>
  </numFmts>
  <fonts count="69" x14ac:knownFonts="1">
    <font>
      <sz val="10"/>
      <name val="Arial"/>
    </font>
    <font>
      <sz val="10"/>
      <name val="Arial"/>
      <family val="2"/>
      <charset val="204"/>
    </font>
    <font>
      <sz val="10"/>
      <name val="Cambria"/>
      <family val="1"/>
      <charset val="204"/>
    </font>
    <font>
      <b/>
      <sz val="14"/>
      <name val="Cambria"/>
      <family val="1"/>
      <charset val="204"/>
    </font>
    <font>
      <b/>
      <sz val="12"/>
      <name val="Cambria"/>
      <family val="1"/>
      <charset val="204"/>
    </font>
    <font>
      <sz val="10"/>
      <name val="Arial"/>
      <family val="2"/>
      <charset val="204"/>
    </font>
    <font>
      <b/>
      <sz val="11"/>
      <name val="Cambria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Cambria"/>
      <family val="1"/>
      <charset val="204"/>
    </font>
    <font>
      <sz val="10"/>
      <color indexed="9"/>
      <name val="Cambria"/>
      <family val="1"/>
      <charset val="204"/>
    </font>
    <font>
      <b/>
      <sz val="14"/>
      <name val="Cambria"/>
      <family val="1"/>
      <charset val="204"/>
    </font>
    <font>
      <sz val="14"/>
      <name val="Cambria"/>
      <family val="1"/>
      <charset val="204"/>
    </font>
    <font>
      <sz val="18"/>
      <name val="Cambria"/>
      <family val="1"/>
      <charset val="204"/>
    </font>
    <font>
      <b/>
      <sz val="18"/>
      <name val="Cambria"/>
      <family val="1"/>
      <charset val="204"/>
    </font>
    <font>
      <b/>
      <sz val="18"/>
      <color indexed="9"/>
      <name val="Cambria"/>
      <family val="1"/>
      <charset val="204"/>
    </font>
    <font>
      <sz val="16"/>
      <name val="Cambria"/>
      <family val="1"/>
      <charset val="204"/>
    </font>
    <font>
      <b/>
      <sz val="16"/>
      <name val="Cambria"/>
      <family val="1"/>
      <charset val="204"/>
    </font>
    <font>
      <b/>
      <sz val="16"/>
      <color indexed="9"/>
      <name val="Cambria"/>
      <family val="1"/>
      <charset val="204"/>
    </font>
    <font>
      <b/>
      <sz val="10"/>
      <name val="Cambria"/>
      <family val="1"/>
      <charset val="204"/>
    </font>
    <font>
      <b/>
      <sz val="10"/>
      <color indexed="9"/>
      <name val="Cambria"/>
      <family val="1"/>
      <charset val="204"/>
    </font>
    <font>
      <b/>
      <sz val="9"/>
      <name val="Cambria"/>
      <family val="1"/>
      <charset val="204"/>
    </font>
    <font>
      <b/>
      <sz val="12"/>
      <name val="Cambria"/>
      <family val="1"/>
      <charset val="204"/>
    </font>
    <font>
      <sz val="8"/>
      <name val="Cambria"/>
      <family val="1"/>
      <charset val="204"/>
    </font>
    <font>
      <sz val="8"/>
      <color indexed="9"/>
      <name val="Cambria"/>
      <family val="1"/>
      <charset val="204"/>
    </font>
    <font>
      <sz val="14"/>
      <color indexed="9"/>
      <name val="Cambria"/>
      <family val="1"/>
      <charset val="204"/>
    </font>
    <font>
      <sz val="12"/>
      <name val="Cambria"/>
      <family val="1"/>
      <charset val="204"/>
    </font>
    <font>
      <sz val="12"/>
      <color indexed="9"/>
      <name val="Cambria"/>
      <family val="1"/>
      <charset val="204"/>
    </font>
    <font>
      <sz val="10"/>
      <color indexed="10"/>
      <name val="Cambria"/>
      <family val="1"/>
      <charset val="204"/>
    </font>
    <font>
      <i/>
      <sz val="10"/>
      <name val="Cambria"/>
      <family val="1"/>
      <charset val="204"/>
    </font>
    <font>
      <sz val="10"/>
      <color indexed="8"/>
      <name val="Cambria"/>
      <family val="1"/>
      <charset val="204"/>
    </font>
    <font>
      <b/>
      <i/>
      <sz val="10"/>
      <name val="Cambria"/>
      <family val="1"/>
      <charset val="204"/>
    </font>
    <font>
      <sz val="10"/>
      <color indexed="21"/>
      <name val="Cambria"/>
      <family val="1"/>
      <charset val="204"/>
    </font>
    <font>
      <sz val="10"/>
      <color indexed="21"/>
      <name val="Cambria"/>
      <family val="1"/>
      <charset val="204"/>
    </font>
    <font>
      <b/>
      <sz val="11"/>
      <name val="Cambria"/>
      <family val="1"/>
      <charset val="204"/>
    </font>
    <font>
      <sz val="11"/>
      <name val="Cambria"/>
      <family val="1"/>
      <charset val="204"/>
    </font>
    <font>
      <b/>
      <sz val="11"/>
      <color indexed="9"/>
      <name val="Cambria"/>
      <family val="1"/>
      <charset val="204"/>
    </font>
    <font>
      <sz val="10"/>
      <color indexed="30"/>
      <name val="Cambria"/>
      <family val="1"/>
      <charset val="204"/>
    </font>
    <font>
      <sz val="9"/>
      <name val="Cambria"/>
      <family val="1"/>
      <charset val="204"/>
    </font>
    <font>
      <sz val="10"/>
      <color indexed="30"/>
      <name val="Cambria"/>
      <family val="1"/>
      <charset val="204"/>
    </font>
    <font>
      <b/>
      <sz val="12"/>
      <color indexed="9"/>
      <name val="Cambria"/>
      <family val="1"/>
      <charset val="204"/>
    </font>
    <font>
      <sz val="12"/>
      <name val="Cambria"/>
      <family val="1"/>
      <charset val="204"/>
    </font>
    <font>
      <sz val="9"/>
      <name val="Cambria"/>
      <family val="1"/>
      <charset val="204"/>
    </font>
    <font>
      <sz val="9"/>
      <color indexed="10"/>
      <name val="Cambria"/>
      <family val="1"/>
      <charset val="204"/>
    </font>
    <font>
      <i/>
      <sz val="10"/>
      <color indexed="10"/>
      <name val="Cambria"/>
      <family val="1"/>
      <charset val="204"/>
    </font>
    <font>
      <sz val="9"/>
      <color indexed="8"/>
      <name val="Cambria"/>
      <family val="1"/>
      <charset val="204"/>
    </font>
    <font>
      <sz val="12"/>
      <color indexed="10"/>
      <name val="Cambria"/>
      <family val="1"/>
      <charset val="204"/>
    </font>
    <font>
      <sz val="9"/>
      <color indexed="8"/>
      <name val="Cambria"/>
      <family val="1"/>
      <charset val="204"/>
    </font>
    <font>
      <sz val="12"/>
      <color indexed="8"/>
      <name val="Cambria"/>
      <family val="1"/>
      <charset val="204"/>
    </font>
    <font>
      <b/>
      <sz val="12"/>
      <name val="Cambria"/>
      <family val="1"/>
      <charset val="204"/>
    </font>
    <font>
      <sz val="12"/>
      <color indexed="10"/>
      <name val="Cambria"/>
      <family val="1"/>
      <charset val="204"/>
    </font>
    <font>
      <sz val="12"/>
      <color indexed="9"/>
      <name val="Cambria"/>
      <family val="1"/>
      <charset val="204"/>
    </font>
    <font>
      <sz val="10"/>
      <color indexed="10"/>
      <name val="Cambria"/>
      <family val="1"/>
      <charset val="204"/>
    </font>
    <font>
      <sz val="10"/>
      <color indexed="9"/>
      <name val="Cambria"/>
      <family val="1"/>
      <charset val="204"/>
    </font>
    <font>
      <sz val="10"/>
      <color indexed="8"/>
      <name val="Cambria"/>
      <family val="1"/>
      <charset val="204"/>
    </font>
    <font>
      <sz val="10"/>
      <color theme="1"/>
      <name val="Cambria"/>
      <family val="1"/>
      <charset val="204"/>
    </font>
    <font>
      <sz val="8"/>
      <name val="Arial"/>
      <family val="2"/>
    </font>
    <font>
      <sz val="9"/>
      <name val="Arial"/>
      <family val="2"/>
      <charset val="204"/>
    </font>
    <font>
      <b/>
      <sz val="12"/>
      <name val="Cambria"/>
      <family val="1"/>
      <charset val="204"/>
      <scheme val="major"/>
    </font>
    <font>
      <i/>
      <sz val="9"/>
      <name val="Cambria"/>
      <family val="1"/>
      <charset val="204"/>
    </font>
    <font>
      <sz val="12"/>
      <name val="Cambria"/>
      <family val="1"/>
      <charset val="204"/>
      <scheme val="major"/>
    </font>
    <font>
      <sz val="10"/>
      <color rgb="FFFF0000"/>
      <name val="Cambria"/>
      <family val="1"/>
      <charset val="204"/>
    </font>
    <font>
      <i/>
      <sz val="10"/>
      <color rgb="FFFF0000"/>
      <name val="Cambria"/>
      <family val="1"/>
      <charset val="204"/>
    </font>
    <font>
      <i/>
      <sz val="9"/>
      <color rgb="FFFF0000"/>
      <name val="Cambria"/>
      <family val="1"/>
      <charset val="204"/>
    </font>
    <font>
      <sz val="12"/>
      <color rgb="FFFF0000"/>
      <name val="Cambria"/>
      <family val="1"/>
      <charset val="204"/>
      <scheme val="major"/>
    </font>
    <font>
      <sz val="8"/>
      <name val="Arial"/>
      <family val="2"/>
      <charset val="204"/>
    </font>
    <font>
      <i/>
      <sz val="8"/>
      <name val="Cambria"/>
      <family val="1"/>
      <charset val="204"/>
    </font>
    <font>
      <i/>
      <sz val="8"/>
      <color rgb="FFFF0000"/>
      <name val="Cambria"/>
      <family val="1"/>
      <charset val="204"/>
    </font>
    <font>
      <sz val="12"/>
      <color rgb="FFFF0000"/>
      <name val="Cambria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164" fontId="1" fillId="0" borderId="0" applyFont="0" applyFill="0" applyBorder="0" applyAlignment="0" applyProtection="0"/>
    <xf numFmtId="0" fontId="56" fillId="0" borderId="0"/>
  </cellStyleXfs>
  <cellXfs count="843">
    <xf numFmtId="0" fontId="0" fillId="0" borderId="0" xfId="0"/>
    <xf numFmtId="0" fontId="2" fillId="2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167" fontId="9" fillId="0" borderId="0" xfId="0" applyNumberFormat="1" applyFont="1" applyAlignment="1">
      <alignment horizontal="center"/>
    </xf>
    <xf numFmtId="167" fontId="9" fillId="0" borderId="0" xfId="0" applyNumberFormat="1" applyFont="1"/>
    <xf numFmtId="0" fontId="10" fillId="2" borderId="0" xfId="0" applyFont="1" applyFill="1" applyAlignment="1">
      <alignment horizontal="center"/>
    </xf>
    <xf numFmtId="49" fontId="9" fillId="2" borderId="0" xfId="0" applyNumberFormat="1" applyFont="1" applyFill="1"/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167" fontId="14" fillId="0" borderId="0" xfId="0" applyNumberFormat="1" applyFont="1" applyAlignment="1">
      <alignment vertical="center"/>
    </xf>
    <xf numFmtId="167" fontId="13" fillId="0" borderId="0" xfId="0" applyNumberFormat="1" applyFont="1" applyAlignment="1">
      <alignment horizontal="center"/>
    </xf>
    <xf numFmtId="0" fontId="15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3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167" fontId="17" fillId="0" borderId="0" xfId="0" applyNumberFormat="1" applyFont="1" applyAlignment="1">
      <alignment vertical="center"/>
    </xf>
    <xf numFmtId="167" fontId="16" fillId="0" borderId="0" xfId="0" applyNumberFormat="1" applyFont="1" applyAlignment="1">
      <alignment horizontal="center"/>
    </xf>
    <xf numFmtId="0" fontId="18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6" fillId="2" borderId="0" xfId="0" applyFont="1" applyFill="1" applyAlignment="1">
      <alignment horizontal="center"/>
    </xf>
    <xf numFmtId="0" fontId="20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3" fillId="0" borderId="6" xfId="3" applyNumberFormat="1" applyFont="1" applyFill="1" applyBorder="1" applyAlignment="1">
      <alignment horizontal="center" vertical="center" wrapText="1"/>
    </xf>
    <xf numFmtId="167" fontId="23" fillId="0" borderId="7" xfId="3" applyNumberFormat="1" applyFont="1" applyFill="1" applyBorder="1" applyAlignment="1">
      <alignment horizontal="center" vertical="center" wrapText="1"/>
    </xf>
    <xf numFmtId="164" fontId="24" fillId="2" borderId="8" xfId="3" applyFont="1" applyFill="1" applyBorder="1" applyAlignment="1">
      <alignment horizontal="center" vertical="center" wrapText="1"/>
    </xf>
    <xf numFmtId="164" fontId="23" fillId="2" borderId="7" xfId="3" applyFont="1" applyFill="1" applyBorder="1" applyAlignment="1">
      <alignment horizontal="center" vertical="center" wrapText="1"/>
    </xf>
    <xf numFmtId="164" fontId="23" fillId="0" borderId="7" xfId="3" applyFont="1" applyFill="1" applyBorder="1" applyAlignment="1">
      <alignment horizontal="center" vertical="center" wrapText="1"/>
    </xf>
    <xf numFmtId="164" fontId="23" fillId="2" borderId="3" xfId="3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165" fontId="12" fillId="0" borderId="4" xfId="3" applyNumberFormat="1" applyFont="1" applyFill="1" applyBorder="1" applyAlignment="1">
      <alignment horizontal="left" vertical="center" wrapText="1"/>
    </xf>
    <xf numFmtId="167" fontId="12" fillId="0" borderId="4" xfId="3" applyNumberFormat="1" applyFont="1" applyFill="1" applyBorder="1" applyAlignment="1">
      <alignment horizontal="center" vertical="center" wrapText="1"/>
    </xf>
    <xf numFmtId="167" fontId="11" fillId="0" borderId="4" xfId="0" applyNumberFormat="1" applyFont="1" applyBorder="1" applyAlignment="1">
      <alignment vertical="center" wrapText="1"/>
    </xf>
    <xf numFmtId="0" fontId="12" fillId="2" borderId="0" xfId="0" applyFont="1" applyFill="1" applyAlignment="1">
      <alignment horizontal="center"/>
    </xf>
    <xf numFmtId="0" fontId="26" fillId="3" borderId="3" xfId="0" applyFont="1" applyFill="1" applyBorder="1" applyAlignment="1">
      <alignment vertical="center" wrapText="1"/>
    </xf>
    <xf numFmtId="0" fontId="22" fillId="3" borderId="6" xfId="0" applyFont="1" applyFill="1" applyBorder="1" applyAlignment="1">
      <alignment horizontal="left" vertical="center"/>
    </xf>
    <xf numFmtId="165" fontId="26" fillId="3" borderId="3" xfId="3" applyNumberFormat="1" applyFont="1" applyFill="1" applyBorder="1" applyAlignment="1">
      <alignment horizontal="left" vertical="center" wrapText="1"/>
    </xf>
    <xf numFmtId="167" fontId="26" fillId="3" borderId="6" xfId="3" applyNumberFormat="1" applyFont="1" applyFill="1" applyBorder="1" applyAlignment="1">
      <alignment horizontal="center" vertical="center" wrapText="1"/>
    </xf>
    <xf numFmtId="167" fontId="26" fillId="3" borderId="4" xfId="3" applyNumberFormat="1" applyFont="1" applyFill="1" applyBorder="1" applyAlignment="1">
      <alignment horizontal="center" vertical="center" wrapText="1"/>
    </xf>
    <xf numFmtId="167" fontId="26" fillId="3" borderId="3" xfId="0" applyNumberFormat="1" applyFont="1" applyFill="1" applyBorder="1" applyAlignment="1">
      <alignment vertical="center" wrapText="1"/>
    </xf>
    <xf numFmtId="167" fontId="26" fillId="3" borderId="6" xfId="0" applyNumberFormat="1" applyFont="1" applyFill="1" applyBorder="1" applyAlignment="1">
      <alignment vertical="center" wrapText="1"/>
    </xf>
    <xf numFmtId="165" fontId="27" fillId="3" borderId="8" xfId="3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 vertical="center" wrapText="1"/>
    </xf>
    <xf numFmtId="165" fontId="26" fillId="3" borderId="6" xfId="0" applyNumberFormat="1" applyFont="1" applyFill="1" applyBorder="1" applyAlignment="1">
      <alignment horizontal="right" vertical="center" wrapText="1"/>
    </xf>
    <xf numFmtId="165" fontId="27" fillId="2" borderId="8" xfId="3" applyNumberFormat="1" applyFont="1" applyFill="1" applyBorder="1" applyAlignment="1">
      <alignment horizontal="right" vertical="center" wrapText="1"/>
    </xf>
    <xf numFmtId="0" fontId="26" fillId="3" borderId="3" xfId="0" applyFont="1" applyFill="1" applyBorder="1" applyAlignment="1">
      <alignment horizontal="right" vertical="center" wrapText="1"/>
    </xf>
    <xf numFmtId="0" fontId="26" fillId="3" borderId="4" xfId="0" applyFont="1" applyFill="1" applyBorder="1" applyAlignment="1">
      <alignment horizontal="right" vertical="center" wrapText="1"/>
    </xf>
    <xf numFmtId="0" fontId="26" fillId="2" borderId="0" xfId="0" applyFont="1" applyFill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2" borderId="9" xfId="0" applyFont="1" applyFill="1" applyBorder="1" applyAlignment="1">
      <alignment horizontal="left" vertical="center" wrapText="1"/>
    </xf>
    <xf numFmtId="167" fontId="9" fillId="0" borderId="10" xfId="0" applyNumberFormat="1" applyFont="1" applyBorder="1" applyAlignment="1">
      <alignment horizontal="center" vertical="center" wrapText="1"/>
    </xf>
    <xf numFmtId="167" fontId="9" fillId="0" borderId="4" xfId="0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vertical="center" wrapText="1"/>
    </xf>
    <xf numFmtId="167" fontId="9" fillId="0" borderId="10" xfId="0" applyNumberFormat="1" applyFont="1" applyBorder="1" applyAlignment="1">
      <alignment vertical="center" wrapText="1"/>
    </xf>
    <xf numFmtId="167" fontId="10" fillId="2" borderId="8" xfId="0" applyNumberFormat="1" applyFont="1" applyFill="1" applyBorder="1" applyAlignment="1">
      <alignment horizontal="center" vertical="center" wrapText="1"/>
    </xf>
    <xf numFmtId="168" fontId="9" fillId="2" borderId="1" xfId="0" applyNumberFormat="1" applyFont="1" applyFill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left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67" fontId="10" fillId="2" borderId="8" xfId="0" applyNumberFormat="1" applyFont="1" applyFill="1" applyBorder="1" applyAlignment="1">
      <alignment horizontal="right" vertical="center" wrapText="1"/>
    </xf>
    <xf numFmtId="166" fontId="9" fillId="0" borderId="11" xfId="3" applyNumberFormat="1" applyFont="1" applyFill="1" applyBorder="1" applyAlignment="1">
      <alignment horizontal="right" vertical="center" wrapText="1"/>
    </xf>
    <xf numFmtId="165" fontId="9" fillId="0" borderId="9" xfId="3" applyNumberFormat="1" applyFont="1" applyFill="1" applyBorder="1" applyAlignment="1">
      <alignment horizontal="right" vertical="center" wrapText="1"/>
    </xf>
    <xf numFmtId="166" fontId="9" fillId="0" borderId="1" xfId="3" applyNumberFormat="1" applyFont="1" applyFill="1" applyBorder="1" applyAlignment="1">
      <alignment horizontal="right" vertical="center" wrapText="1"/>
    </xf>
    <xf numFmtId="0" fontId="9" fillId="2" borderId="13" xfId="0" applyFont="1" applyFill="1" applyBorder="1" applyAlignment="1">
      <alignment horizontal="left" vertical="center" wrapText="1"/>
    </xf>
    <xf numFmtId="167" fontId="9" fillId="0" borderId="14" xfId="0" applyNumberFormat="1" applyFont="1" applyBorder="1" applyAlignment="1">
      <alignment horizontal="center" vertical="center" wrapText="1"/>
    </xf>
    <xf numFmtId="167" fontId="9" fillId="0" borderId="15" xfId="0" applyNumberFormat="1" applyFont="1" applyBorder="1" applyAlignment="1">
      <alignment horizontal="center" vertical="center" wrapText="1"/>
    </xf>
    <xf numFmtId="168" fontId="28" fillId="2" borderId="11" xfId="0" applyNumberFormat="1" applyFont="1" applyFill="1" applyBorder="1" applyAlignment="1">
      <alignment horizontal="center" vertical="center" wrapText="1"/>
    </xf>
    <xf numFmtId="3" fontId="28" fillId="0" borderId="13" xfId="0" applyNumberFormat="1" applyFont="1" applyBorder="1" applyAlignment="1">
      <alignment horizontal="left" vertical="center" wrapText="1"/>
    </xf>
    <xf numFmtId="165" fontId="9" fillId="0" borderId="14" xfId="3" applyNumberFormat="1" applyFont="1" applyFill="1" applyBorder="1" applyAlignment="1">
      <alignment horizontal="right"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7" fontId="9" fillId="0" borderId="18" xfId="0" applyNumberFormat="1" applyFont="1" applyBorder="1" applyAlignment="1">
      <alignment horizontal="center" vertical="center" wrapText="1"/>
    </xf>
    <xf numFmtId="167" fontId="9" fillId="0" borderId="19" xfId="0" applyNumberFormat="1" applyFont="1" applyBorder="1" applyAlignment="1">
      <alignment horizontal="center" vertical="center" wrapText="1"/>
    </xf>
    <xf numFmtId="167" fontId="9" fillId="0" borderId="20" xfId="0" applyNumberFormat="1" applyFont="1" applyBorder="1" applyAlignment="1">
      <alignment vertical="center" wrapText="1"/>
    </xf>
    <xf numFmtId="167" fontId="9" fillId="0" borderId="18" xfId="0" applyNumberFormat="1" applyFont="1" applyBorder="1" applyAlignment="1">
      <alignment vertical="center" wrapText="1"/>
    </xf>
    <xf numFmtId="168" fontId="9" fillId="2" borderId="20" xfId="0" applyNumberFormat="1" applyFont="1" applyFill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left" vertical="center" wrapText="1"/>
    </xf>
    <xf numFmtId="0" fontId="9" fillId="2" borderId="17" xfId="0" applyFont="1" applyFill="1" applyBorder="1" applyAlignment="1">
      <alignment horizontal="center" vertical="center" wrapText="1"/>
    </xf>
    <xf numFmtId="166" fontId="9" fillId="0" borderId="20" xfId="3" applyNumberFormat="1" applyFont="1" applyFill="1" applyBorder="1" applyAlignment="1">
      <alignment horizontal="right" vertical="center" wrapText="1"/>
    </xf>
    <xf numFmtId="165" fontId="9" fillId="0" borderId="17" xfId="3" applyNumberFormat="1" applyFont="1" applyFill="1" applyBorder="1" applyAlignment="1">
      <alignment horizontal="right" vertical="center" wrapText="1"/>
    </xf>
    <xf numFmtId="0" fontId="9" fillId="0" borderId="21" xfId="0" applyFont="1" applyBorder="1" applyAlignment="1">
      <alignment vertical="center" wrapText="1"/>
    </xf>
    <xf numFmtId="167" fontId="10" fillId="2" borderId="23" xfId="0" applyNumberFormat="1" applyFont="1" applyFill="1" applyBorder="1" applyAlignment="1">
      <alignment horizontal="center" vertical="center" wrapText="1"/>
    </xf>
    <xf numFmtId="167" fontId="10" fillId="2" borderId="23" xfId="0" applyNumberFormat="1" applyFont="1" applyFill="1" applyBorder="1" applyAlignment="1">
      <alignment horizontal="right" vertical="center" wrapText="1"/>
    </xf>
    <xf numFmtId="167" fontId="9" fillId="0" borderId="22" xfId="0" applyNumberFormat="1" applyFont="1" applyBorder="1" applyAlignment="1">
      <alignment horizontal="center" vertical="center" wrapText="1"/>
    </xf>
    <xf numFmtId="167" fontId="9" fillId="0" borderId="26" xfId="0" applyNumberFormat="1" applyFont="1" applyBorder="1" applyAlignment="1">
      <alignment vertical="center" wrapText="1"/>
    </xf>
    <xf numFmtId="167" fontId="9" fillId="0" borderId="25" xfId="0" applyNumberFormat="1" applyFont="1" applyBorder="1" applyAlignment="1">
      <alignment vertical="center" wrapText="1"/>
    </xf>
    <xf numFmtId="168" fontId="9" fillId="2" borderId="26" xfId="0" applyNumberFormat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vertical="center" wrapText="1"/>
    </xf>
    <xf numFmtId="167" fontId="9" fillId="3" borderId="6" xfId="3" applyNumberFormat="1" applyFont="1" applyFill="1" applyBorder="1" applyAlignment="1">
      <alignment horizontal="center" vertical="center" wrapText="1"/>
    </xf>
    <xf numFmtId="167" fontId="9" fillId="3" borderId="4" xfId="3" applyNumberFormat="1" applyFont="1" applyFill="1" applyBorder="1" applyAlignment="1">
      <alignment horizontal="center" vertical="center" wrapText="1"/>
    </xf>
    <xf numFmtId="167" fontId="9" fillId="3" borderId="3" xfId="0" applyNumberFormat="1" applyFont="1" applyFill="1" applyBorder="1" applyAlignment="1">
      <alignment vertical="center" wrapText="1"/>
    </xf>
    <xf numFmtId="167" fontId="9" fillId="3" borderId="6" xfId="0" applyNumberFormat="1" applyFont="1" applyFill="1" applyBorder="1" applyAlignment="1">
      <alignment vertical="center" wrapText="1"/>
    </xf>
    <xf numFmtId="165" fontId="10" fillId="3" borderId="8" xfId="3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167" fontId="9" fillId="0" borderId="33" xfId="0" applyNumberFormat="1" applyFont="1" applyBorder="1" applyAlignment="1">
      <alignment vertical="center" wrapText="1"/>
    </xf>
    <xf numFmtId="168" fontId="30" fillId="2" borderId="26" xfId="0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165" fontId="10" fillId="2" borderId="8" xfId="3" applyNumberFormat="1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horizontal="right" vertical="center" wrapText="1"/>
    </xf>
    <xf numFmtId="167" fontId="9" fillId="2" borderId="8" xfId="0" applyNumberFormat="1" applyFont="1" applyFill="1" applyBorder="1" applyAlignment="1">
      <alignment horizontal="center" vertical="center" wrapText="1"/>
    </xf>
    <xf numFmtId="167" fontId="9" fillId="2" borderId="8" xfId="0" applyNumberFormat="1" applyFont="1" applyFill="1" applyBorder="1" applyAlignment="1">
      <alignment horizontal="right" vertical="center" wrapText="1"/>
    </xf>
    <xf numFmtId="0" fontId="9" fillId="0" borderId="11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168" fontId="9" fillId="2" borderId="11" xfId="0" applyNumberFormat="1" applyFont="1" applyFill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left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/>
    </xf>
    <xf numFmtId="0" fontId="30" fillId="0" borderId="16" xfId="0" applyFont="1" applyBorder="1" applyAlignment="1">
      <alignment vertical="center" wrapText="1"/>
    </xf>
    <xf numFmtId="167" fontId="30" fillId="0" borderId="25" xfId="0" applyNumberFormat="1" applyFont="1" applyBorder="1" applyAlignment="1">
      <alignment horizontal="center" vertical="center" wrapText="1"/>
    </xf>
    <xf numFmtId="167" fontId="30" fillId="2" borderId="23" xfId="0" applyNumberFormat="1" applyFont="1" applyFill="1" applyBorder="1" applyAlignment="1">
      <alignment horizontal="center" vertical="center" wrapText="1"/>
    </xf>
    <xf numFmtId="3" fontId="30" fillId="0" borderId="24" xfId="0" applyNumberFormat="1" applyFont="1" applyBorder="1" applyAlignment="1">
      <alignment horizontal="left" vertical="center" wrapText="1"/>
    </xf>
    <xf numFmtId="0" fontId="30" fillId="2" borderId="17" xfId="0" applyFont="1" applyFill="1" applyBorder="1" applyAlignment="1">
      <alignment horizontal="center" vertical="center" wrapText="1"/>
    </xf>
    <xf numFmtId="167" fontId="30" fillId="2" borderId="23" xfId="0" applyNumberFormat="1" applyFont="1" applyFill="1" applyBorder="1" applyAlignment="1">
      <alignment horizontal="right" vertical="center" wrapText="1"/>
    </xf>
    <xf numFmtId="166" fontId="30" fillId="0" borderId="20" xfId="3" applyNumberFormat="1" applyFont="1" applyFill="1" applyBorder="1" applyAlignment="1">
      <alignment horizontal="right" vertical="center" wrapText="1"/>
    </xf>
    <xf numFmtId="165" fontId="30" fillId="0" borderId="24" xfId="3" applyNumberFormat="1" applyFont="1" applyFill="1" applyBorder="1" applyAlignment="1">
      <alignment horizontal="right" vertical="center" wrapText="1"/>
    </xf>
    <xf numFmtId="165" fontId="32" fillId="0" borderId="24" xfId="3" applyNumberFormat="1" applyFont="1" applyFill="1" applyBorder="1" applyAlignment="1">
      <alignment horizontal="right" vertical="center" wrapText="1"/>
    </xf>
    <xf numFmtId="0" fontId="30" fillId="2" borderId="22" xfId="0" applyFont="1" applyFill="1" applyBorder="1" applyAlignment="1">
      <alignment horizontal="center"/>
    </xf>
    <xf numFmtId="3" fontId="9" fillId="0" borderId="0" xfId="0" applyNumberFormat="1" applyFont="1" applyAlignment="1">
      <alignment vertical="center" wrapText="1"/>
    </xf>
    <xf numFmtId="3" fontId="9" fillId="0" borderId="31" xfId="0" applyNumberFormat="1" applyFont="1" applyBorder="1" applyAlignment="1">
      <alignment vertical="center" wrapText="1"/>
    </xf>
    <xf numFmtId="167" fontId="9" fillId="2" borderId="23" xfId="0" applyNumberFormat="1" applyFont="1" applyFill="1" applyBorder="1" applyAlignment="1">
      <alignment horizontal="center" vertical="center" wrapText="1"/>
    </xf>
    <xf numFmtId="167" fontId="9" fillId="2" borderId="23" xfId="0" applyNumberFormat="1" applyFont="1" applyFill="1" applyBorder="1" applyAlignment="1">
      <alignment horizontal="right" vertical="center" wrapText="1"/>
    </xf>
    <xf numFmtId="165" fontId="9" fillId="0" borderId="24" xfId="3" applyNumberFormat="1" applyFont="1" applyFill="1" applyBorder="1" applyAlignment="1">
      <alignment horizontal="right" vertical="center" wrapText="1"/>
    </xf>
    <xf numFmtId="166" fontId="9" fillId="0" borderId="26" xfId="3" applyNumberFormat="1" applyFont="1" applyFill="1" applyBorder="1" applyAlignment="1">
      <alignment horizontal="right" vertical="center" wrapText="1"/>
    </xf>
    <xf numFmtId="167" fontId="30" fillId="0" borderId="20" xfId="0" applyNumberFormat="1" applyFont="1" applyBorder="1" applyAlignment="1">
      <alignment vertical="center" wrapText="1"/>
    </xf>
    <xf numFmtId="3" fontId="30" fillId="0" borderId="32" xfId="0" applyNumberFormat="1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67" fontId="10" fillId="2" borderId="37" xfId="0" applyNumberFormat="1" applyFont="1" applyFill="1" applyBorder="1" applyAlignment="1">
      <alignment horizontal="center" vertical="center" wrapText="1"/>
    </xf>
    <xf numFmtId="167" fontId="10" fillId="2" borderId="37" xfId="0" applyNumberFormat="1" applyFont="1" applyFill="1" applyBorder="1" applyAlignment="1">
      <alignment horizontal="right" vertical="center" wrapText="1"/>
    </xf>
    <xf numFmtId="0" fontId="34" fillId="4" borderId="7" xfId="0" applyFont="1" applyFill="1" applyBorder="1" applyAlignment="1">
      <alignment vertical="center"/>
    </xf>
    <xf numFmtId="0" fontId="35" fillId="4" borderId="7" xfId="0" applyFont="1" applyFill="1" applyBorder="1" applyAlignment="1">
      <alignment vertical="center" wrapText="1"/>
    </xf>
    <xf numFmtId="0" fontId="34" fillId="4" borderId="7" xfId="0" applyFont="1" applyFill="1" applyBorder="1" applyAlignment="1">
      <alignment horizontal="left" vertical="center" wrapText="1"/>
    </xf>
    <xf numFmtId="167" fontId="34" fillId="4" borderId="7" xfId="0" applyNumberFormat="1" applyFont="1" applyFill="1" applyBorder="1" applyAlignment="1">
      <alignment horizontal="center" vertical="center" wrapText="1"/>
    </xf>
    <xf numFmtId="167" fontId="35" fillId="4" borderId="7" xfId="0" applyNumberFormat="1" applyFont="1" applyFill="1" applyBorder="1" applyAlignment="1">
      <alignment vertical="center" wrapText="1"/>
    </xf>
    <xf numFmtId="167" fontId="36" fillId="4" borderId="8" xfId="0" applyNumberFormat="1" applyFont="1" applyFill="1" applyBorder="1" applyAlignment="1">
      <alignment horizontal="center" vertical="center" wrapText="1"/>
    </xf>
    <xf numFmtId="49" fontId="35" fillId="4" borderId="7" xfId="0" applyNumberFormat="1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center" vertical="center" wrapText="1"/>
    </xf>
    <xf numFmtId="165" fontId="34" fillId="4" borderId="7" xfId="3" applyNumberFormat="1" applyFont="1" applyFill="1" applyBorder="1" applyAlignment="1">
      <alignment horizontal="right" vertical="center" wrapText="1"/>
    </xf>
    <xf numFmtId="167" fontId="36" fillId="2" borderId="8" xfId="0" applyNumberFormat="1" applyFont="1" applyFill="1" applyBorder="1" applyAlignment="1">
      <alignment horizontal="right" vertical="center" wrapText="1"/>
    </xf>
    <xf numFmtId="0" fontId="34" fillId="4" borderId="7" xfId="0" applyFont="1" applyFill="1" applyBorder="1" applyAlignment="1">
      <alignment horizontal="right" vertical="center" wrapText="1"/>
    </xf>
    <xf numFmtId="0" fontId="34" fillId="2" borderId="0" xfId="0" applyFont="1" applyFill="1" applyAlignment="1">
      <alignment horizontal="center"/>
    </xf>
    <xf numFmtId="165" fontId="25" fillId="2" borderId="0" xfId="3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5" fontId="37" fillId="0" borderId="17" xfId="3" applyNumberFormat="1" applyFont="1" applyFill="1" applyBorder="1" applyAlignment="1">
      <alignment horizontal="right" vertical="center" wrapText="1"/>
    </xf>
    <xf numFmtId="167" fontId="9" fillId="2" borderId="39" xfId="0" applyNumberFormat="1" applyFont="1" applyFill="1" applyBorder="1" applyAlignment="1">
      <alignment horizontal="right" vertical="center" wrapText="1"/>
    </xf>
    <xf numFmtId="0" fontId="9" fillId="0" borderId="40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65" fontId="33" fillId="0" borderId="17" xfId="3" applyNumberFormat="1" applyFont="1" applyFill="1" applyBorder="1" applyAlignment="1">
      <alignment horizontal="right" vertical="center" wrapText="1"/>
    </xf>
    <xf numFmtId="167" fontId="30" fillId="0" borderId="18" xfId="0" applyNumberFormat="1" applyFont="1" applyBorder="1" applyAlignment="1">
      <alignment vertical="center" wrapText="1"/>
    </xf>
    <xf numFmtId="167" fontId="30" fillId="2" borderId="8" xfId="0" applyNumberFormat="1" applyFont="1" applyFill="1" applyBorder="1" applyAlignment="1">
      <alignment horizontal="center" vertical="center" wrapText="1"/>
    </xf>
    <xf numFmtId="168" fontId="30" fillId="2" borderId="20" xfId="0" applyNumberFormat="1" applyFont="1" applyFill="1" applyBorder="1" applyAlignment="1">
      <alignment horizontal="center" vertical="center" wrapText="1"/>
    </xf>
    <xf numFmtId="3" fontId="30" fillId="0" borderId="17" xfId="0" applyNumberFormat="1" applyFont="1" applyBorder="1" applyAlignment="1">
      <alignment horizontal="left" vertical="center" wrapText="1"/>
    </xf>
    <xf numFmtId="167" fontId="30" fillId="2" borderId="8" xfId="0" applyNumberFormat="1" applyFont="1" applyFill="1" applyBorder="1" applyAlignment="1">
      <alignment horizontal="right" vertical="center" wrapText="1"/>
    </xf>
    <xf numFmtId="167" fontId="28" fillId="0" borderId="20" xfId="0" applyNumberFormat="1" applyFont="1" applyBorder="1" applyAlignment="1">
      <alignment vertical="center" wrapText="1"/>
    </xf>
    <xf numFmtId="3" fontId="28" fillId="0" borderId="17" xfId="0" applyNumberFormat="1" applyFont="1" applyBorder="1" applyAlignment="1">
      <alignment horizontal="left" vertical="center" wrapText="1"/>
    </xf>
    <xf numFmtId="167" fontId="28" fillId="0" borderId="18" xfId="0" applyNumberFormat="1" applyFont="1" applyBorder="1" applyAlignment="1">
      <alignment vertical="center" wrapText="1"/>
    </xf>
    <xf numFmtId="167" fontId="28" fillId="2" borderId="8" xfId="0" applyNumberFormat="1" applyFont="1" applyFill="1" applyBorder="1" applyAlignment="1">
      <alignment horizontal="center" vertical="center" wrapText="1"/>
    </xf>
    <xf numFmtId="168" fontId="28" fillId="2" borderId="20" xfId="0" applyNumberFormat="1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167" fontId="30" fillId="0" borderId="18" xfId="0" applyNumberFormat="1" applyFont="1" applyBorder="1" applyAlignment="1">
      <alignment horizontal="center" vertical="center" wrapText="1"/>
    </xf>
    <xf numFmtId="167" fontId="30" fillId="0" borderId="19" xfId="0" applyNumberFormat="1" applyFont="1" applyBorder="1" applyAlignment="1">
      <alignment horizontal="center" vertical="center" wrapText="1"/>
    </xf>
    <xf numFmtId="165" fontId="30" fillId="0" borderId="17" xfId="3" applyNumberFormat="1" applyFont="1" applyFill="1" applyBorder="1" applyAlignment="1">
      <alignment horizontal="right" vertical="center" wrapText="1"/>
    </xf>
    <xf numFmtId="0" fontId="30" fillId="2" borderId="0" xfId="0" applyFont="1" applyFill="1" applyAlignment="1">
      <alignment horizontal="center"/>
    </xf>
    <xf numFmtId="165" fontId="39" fillId="0" borderId="17" xfId="3" applyNumberFormat="1" applyFont="1" applyFill="1" applyBorder="1" applyAlignment="1">
      <alignment horizontal="right" vertical="center" wrapText="1"/>
    </xf>
    <xf numFmtId="3" fontId="9" fillId="0" borderId="32" xfId="0" applyNumberFormat="1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34" fillId="4" borderId="7" xfId="0" applyFont="1" applyFill="1" applyBorder="1" applyAlignment="1">
      <alignment horizontal="center"/>
    </xf>
    <xf numFmtId="0" fontId="22" fillId="5" borderId="7" xfId="0" applyFont="1" applyFill="1" applyBorder="1" applyAlignment="1">
      <alignment vertical="center"/>
    </xf>
    <xf numFmtId="0" fontId="22" fillId="5" borderId="7" xfId="0" applyFont="1" applyFill="1" applyBorder="1" applyAlignment="1">
      <alignment vertical="center" wrapText="1"/>
    </xf>
    <xf numFmtId="0" fontId="22" fillId="5" borderId="7" xfId="0" applyFont="1" applyFill="1" applyBorder="1" applyAlignment="1">
      <alignment horizontal="left" vertical="center" wrapText="1"/>
    </xf>
    <xf numFmtId="167" fontId="22" fillId="5" borderId="7" xfId="0" applyNumberFormat="1" applyFont="1" applyFill="1" applyBorder="1" applyAlignment="1">
      <alignment horizontal="center" vertical="center" wrapText="1"/>
    </xf>
    <xf numFmtId="167" fontId="22" fillId="5" borderId="7" xfId="0" applyNumberFormat="1" applyFont="1" applyFill="1" applyBorder="1" applyAlignment="1">
      <alignment vertical="center" wrapText="1"/>
    </xf>
    <xf numFmtId="167" fontId="40" fillId="5" borderId="8" xfId="0" applyNumberFormat="1" applyFont="1" applyFill="1" applyBorder="1" applyAlignment="1">
      <alignment horizontal="center" vertical="center" wrapText="1"/>
    </xf>
    <xf numFmtId="49" fontId="22" fillId="5" borderId="7" xfId="0" applyNumberFormat="1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165" fontId="22" fillId="5" borderId="7" xfId="3" applyNumberFormat="1" applyFont="1" applyFill="1" applyBorder="1" applyAlignment="1">
      <alignment horizontal="center" vertical="center" wrapText="1"/>
    </xf>
    <xf numFmtId="167" fontId="40" fillId="2" borderId="8" xfId="0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4" fillId="0" borderId="4" xfId="0" applyFont="1" applyBorder="1" applyAlignment="1">
      <alignment vertical="center"/>
    </xf>
    <xf numFmtId="165" fontId="25" fillId="2" borderId="2" xfId="3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165" fontId="12" fillId="0" borderId="2" xfId="3" applyNumberFormat="1" applyFont="1" applyFill="1" applyBorder="1" applyAlignment="1">
      <alignment horizontal="left" vertical="center" wrapText="1"/>
    </xf>
    <xf numFmtId="165" fontId="25" fillId="2" borderId="4" xfId="3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3" fontId="41" fillId="0" borderId="13" xfId="0" applyNumberFormat="1" applyFont="1" applyBorder="1" applyAlignment="1">
      <alignment horizontal="left" vertical="center" wrapText="1"/>
    </xf>
    <xf numFmtId="167" fontId="9" fillId="0" borderId="25" xfId="0" applyNumberFormat="1" applyFont="1" applyBorder="1" applyAlignment="1">
      <alignment horizontal="right" vertical="center" wrapText="1"/>
    </xf>
    <xf numFmtId="3" fontId="9" fillId="0" borderId="24" xfId="0" applyNumberFormat="1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3" fontId="42" fillId="0" borderId="9" xfId="0" applyNumberFormat="1" applyFont="1" applyBorder="1" applyAlignment="1">
      <alignment horizontal="left" vertical="center" wrapText="1"/>
    </xf>
    <xf numFmtId="3" fontId="38" fillId="0" borderId="24" xfId="0" applyNumberFormat="1" applyFont="1" applyBorder="1" applyAlignment="1">
      <alignment horizontal="left" vertical="center" wrapText="1"/>
    </xf>
    <xf numFmtId="167" fontId="28" fillId="0" borderId="10" xfId="0" applyNumberFormat="1" applyFont="1" applyBorder="1" applyAlignment="1">
      <alignment vertical="center" wrapText="1"/>
    </xf>
    <xf numFmtId="168" fontId="28" fillId="2" borderId="1" xfId="0" applyNumberFormat="1" applyFont="1" applyFill="1" applyBorder="1" applyAlignment="1">
      <alignment horizontal="center" vertical="center" wrapText="1"/>
    </xf>
    <xf numFmtId="3" fontId="43" fillId="0" borderId="24" xfId="0" applyNumberFormat="1" applyFont="1" applyBorder="1" applyAlignment="1">
      <alignment horizontal="left" vertical="center" wrapText="1"/>
    </xf>
    <xf numFmtId="3" fontId="28" fillId="0" borderId="9" xfId="0" applyNumberFormat="1" applyFont="1" applyBorder="1" applyAlignment="1">
      <alignment horizontal="center" vertical="center" wrapText="1"/>
    </xf>
    <xf numFmtId="0" fontId="9" fillId="3" borderId="4" xfId="0" applyFont="1" applyFill="1" applyBorder="1"/>
    <xf numFmtId="167" fontId="28" fillId="3" borderId="6" xfId="0" applyNumberFormat="1" applyFont="1" applyFill="1" applyBorder="1" applyAlignment="1">
      <alignment vertical="center" wrapText="1"/>
    </xf>
    <xf numFmtId="165" fontId="10" fillId="3" borderId="0" xfId="0" applyNumberFormat="1" applyFont="1" applyFill="1"/>
    <xf numFmtId="49" fontId="28" fillId="3" borderId="3" xfId="0" applyNumberFormat="1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top"/>
    </xf>
    <xf numFmtId="0" fontId="28" fillId="3" borderId="4" xfId="0" applyFont="1" applyFill="1" applyBorder="1" applyAlignment="1">
      <alignment horizontal="center" vertical="center" wrapText="1"/>
    </xf>
    <xf numFmtId="165" fontId="27" fillId="0" borderId="0" xfId="0" applyNumberFormat="1" applyFont="1"/>
    <xf numFmtId="0" fontId="26" fillId="3" borderId="4" xfId="0" applyFont="1" applyFill="1" applyBorder="1"/>
    <xf numFmtId="3" fontId="9" fillId="0" borderId="22" xfId="0" applyNumberFormat="1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28" fillId="2" borderId="32" xfId="0" applyFont="1" applyFill="1" applyBorder="1" applyAlignment="1">
      <alignment vertical="center" wrapText="1"/>
    </xf>
    <xf numFmtId="167" fontId="28" fillId="0" borderId="14" xfId="0" applyNumberFormat="1" applyFont="1" applyBorder="1" applyAlignment="1">
      <alignment horizontal="center" vertical="center" wrapText="1"/>
    </xf>
    <xf numFmtId="166" fontId="30" fillId="0" borderId="11" xfId="3" applyNumberFormat="1" applyFont="1" applyFill="1" applyBorder="1" applyAlignment="1">
      <alignment horizontal="right" vertical="center" wrapText="1"/>
    </xf>
    <xf numFmtId="0" fontId="44" fillId="2" borderId="16" xfId="0" applyFont="1" applyFill="1" applyBorder="1" applyAlignment="1">
      <alignment horizontal="left" vertical="center" wrapText="1"/>
    </xf>
    <xf numFmtId="0" fontId="44" fillId="2" borderId="28" xfId="0" applyFont="1" applyFill="1" applyBorder="1" applyAlignment="1">
      <alignment horizontal="left" vertical="center" wrapText="1"/>
    </xf>
    <xf numFmtId="167" fontId="28" fillId="0" borderId="33" xfId="0" applyNumberFormat="1" applyFont="1" applyBorder="1" applyAlignment="1">
      <alignment vertical="center" wrapText="1"/>
    </xf>
    <xf numFmtId="167" fontId="44" fillId="0" borderId="34" xfId="0" applyNumberFormat="1" applyFont="1" applyBorder="1" applyAlignment="1">
      <alignment vertical="center" wrapText="1"/>
    </xf>
    <xf numFmtId="167" fontId="44" fillId="2" borderId="27" xfId="0" applyNumberFormat="1" applyFont="1" applyFill="1" applyBorder="1" applyAlignment="1">
      <alignment horizontal="center" vertical="center" wrapText="1"/>
    </xf>
    <xf numFmtId="168" fontId="28" fillId="2" borderId="26" xfId="0" applyNumberFormat="1" applyFont="1" applyFill="1" applyBorder="1" applyAlignment="1">
      <alignment horizontal="center" vertical="center" wrapText="1"/>
    </xf>
    <xf numFmtId="3" fontId="28" fillId="0" borderId="36" xfId="0" applyNumberFormat="1" applyFont="1" applyBorder="1" applyAlignment="1">
      <alignment horizontal="left" vertical="center" wrapText="1"/>
    </xf>
    <xf numFmtId="3" fontId="28" fillId="2" borderId="17" xfId="0" applyNumberFormat="1" applyFont="1" applyFill="1" applyBorder="1" applyAlignment="1">
      <alignment horizontal="center" vertical="center" wrapText="1"/>
    </xf>
    <xf numFmtId="167" fontId="30" fillId="2" borderId="27" xfId="0" applyNumberFormat="1" applyFont="1" applyFill="1" applyBorder="1" applyAlignment="1">
      <alignment horizontal="right" vertical="center" wrapText="1"/>
    </xf>
    <xf numFmtId="0" fontId="12" fillId="3" borderId="3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/>
    <xf numFmtId="167" fontId="12" fillId="3" borderId="6" xfId="3" applyNumberFormat="1" applyFont="1" applyFill="1" applyBorder="1" applyAlignment="1">
      <alignment horizontal="center" vertical="center" wrapText="1"/>
    </xf>
    <xf numFmtId="167" fontId="12" fillId="3" borderId="4" xfId="3" applyNumberFormat="1" applyFont="1" applyFill="1" applyBorder="1" applyAlignment="1">
      <alignment horizontal="center" vertical="center" wrapText="1"/>
    </xf>
    <xf numFmtId="167" fontId="12" fillId="3" borderId="3" xfId="0" applyNumberFormat="1" applyFont="1" applyFill="1" applyBorder="1" applyAlignment="1">
      <alignment vertical="center" wrapText="1"/>
    </xf>
    <xf numFmtId="167" fontId="12" fillId="3" borderId="6" xfId="0" applyNumberFormat="1" applyFont="1" applyFill="1" applyBorder="1" applyAlignment="1">
      <alignment vertical="center" wrapText="1"/>
    </xf>
    <xf numFmtId="165" fontId="25" fillId="3" borderId="8" xfId="3" applyNumberFormat="1" applyFont="1" applyFill="1" applyBorder="1" applyAlignment="1">
      <alignment horizontal="center" vertical="center" wrapText="1"/>
    </xf>
    <xf numFmtId="49" fontId="12" fillId="3" borderId="3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165" fontId="25" fillId="2" borderId="8" xfId="3" applyNumberFormat="1" applyFont="1" applyFill="1" applyBorder="1" applyAlignment="1">
      <alignment horizontal="right"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horizontal="right" vertical="center" wrapText="1"/>
    </xf>
    <xf numFmtId="3" fontId="9" fillId="0" borderId="36" xfId="0" applyNumberFormat="1" applyFont="1" applyBorder="1" applyAlignment="1">
      <alignment vertical="center" wrapText="1"/>
    </xf>
    <xf numFmtId="167" fontId="9" fillId="0" borderId="44" xfId="0" applyNumberFormat="1" applyFont="1" applyBorder="1" applyAlignment="1">
      <alignment horizontal="center" vertical="center" wrapText="1"/>
    </xf>
    <xf numFmtId="167" fontId="9" fillId="0" borderId="45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67" fontId="9" fillId="0" borderId="46" xfId="0" applyNumberFormat="1" applyFont="1" applyBorder="1" applyAlignment="1">
      <alignment vertical="center" wrapText="1"/>
    </xf>
    <xf numFmtId="165" fontId="27" fillId="3" borderId="0" xfId="0" applyNumberFormat="1" applyFont="1" applyFill="1"/>
    <xf numFmtId="0" fontId="26" fillId="3" borderId="4" xfId="0" applyFont="1" applyFill="1" applyBorder="1" applyAlignment="1">
      <alignment horizontal="center" vertical="top"/>
    </xf>
    <xf numFmtId="167" fontId="28" fillId="2" borderId="23" xfId="0" applyNumberFormat="1" applyFont="1" applyFill="1" applyBorder="1" applyAlignment="1">
      <alignment horizontal="center" vertical="center" wrapText="1"/>
    </xf>
    <xf numFmtId="3" fontId="28" fillId="0" borderId="13" xfId="0" applyNumberFormat="1" applyFont="1" applyBorder="1" applyAlignment="1">
      <alignment horizontal="center" vertical="center" wrapText="1"/>
    </xf>
    <xf numFmtId="0" fontId="30" fillId="0" borderId="26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45" fillId="0" borderId="24" xfId="0" applyFont="1" applyBorder="1" applyAlignment="1">
      <alignment horizontal="left" vertical="center" wrapText="1"/>
    </xf>
    <xf numFmtId="167" fontId="30" fillId="0" borderId="47" xfId="0" applyNumberFormat="1" applyFont="1" applyBorder="1" applyAlignment="1">
      <alignment horizontal="center" vertical="center" wrapText="1"/>
    </xf>
    <xf numFmtId="3" fontId="30" fillId="0" borderId="24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30" fillId="2" borderId="13" xfId="0" applyFont="1" applyFill="1" applyBorder="1" applyAlignment="1">
      <alignment horizontal="left" vertical="center" wrapText="1"/>
    </xf>
    <xf numFmtId="167" fontId="30" fillId="0" borderId="14" xfId="0" applyNumberFormat="1" applyFont="1" applyBorder="1" applyAlignment="1">
      <alignment horizontal="center" vertical="center" wrapText="1"/>
    </xf>
    <xf numFmtId="167" fontId="30" fillId="0" borderId="45" xfId="0" applyNumberFormat="1" applyFont="1" applyBorder="1" applyAlignment="1">
      <alignment horizontal="center" vertical="center" wrapText="1"/>
    </xf>
    <xf numFmtId="168" fontId="30" fillId="2" borderId="11" xfId="0" applyNumberFormat="1" applyFont="1" applyFill="1" applyBorder="1" applyAlignment="1">
      <alignment horizontal="center" vertical="center" wrapText="1"/>
    </xf>
    <xf numFmtId="3" fontId="30" fillId="0" borderId="13" xfId="0" applyNumberFormat="1" applyFont="1" applyBorder="1" applyAlignment="1">
      <alignment horizontal="left" vertical="center" wrapText="1"/>
    </xf>
    <xf numFmtId="3" fontId="30" fillId="0" borderId="13" xfId="0" applyNumberFormat="1" applyFont="1" applyBorder="1" applyAlignment="1">
      <alignment horizontal="center" vertical="center" wrapText="1"/>
    </xf>
    <xf numFmtId="3" fontId="9" fillId="0" borderId="32" xfId="0" applyNumberFormat="1" applyFont="1" applyBorder="1" applyAlignment="1">
      <alignment vertical="center"/>
    </xf>
    <xf numFmtId="3" fontId="30" fillId="0" borderId="32" xfId="0" applyNumberFormat="1" applyFont="1" applyBorder="1" applyAlignment="1">
      <alignment horizontal="center" vertical="center" wrapText="1"/>
    </xf>
    <xf numFmtId="3" fontId="30" fillId="0" borderId="32" xfId="0" applyNumberFormat="1" applyFont="1" applyBorder="1" applyAlignment="1">
      <alignment vertical="center"/>
    </xf>
    <xf numFmtId="167" fontId="42" fillId="0" borderId="20" xfId="0" applyNumberFormat="1" applyFont="1" applyBorder="1" applyAlignment="1">
      <alignment vertical="center" wrapText="1"/>
    </xf>
    <xf numFmtId="3" fontId="46" fillId="0" borderId="17" xfId="0" applyNumberFormat="1" applyFont="1" applyBorder="1" applyAlignment="1">
      <alignment horizontal="left" vertical="center" wrapText="1"/>
    </xf>
    <xf numFmtId="167" fontId="47" fillId="0" borderId="20" xfId="0" applyNumberFormat="1" applyFont="1" applyBorder="1" applyAlignment="1">
      <alignment vertical="center" wrapText="1"/>
    </xf>
    <xf numFmtId="3" fontId="48" fillId="0" borderId="17" xfId="0" applyNumberFormat="1" applyFont="1" applyBorder="1" applyAlignment="1">
      <alignment horizontal="left" vertical="center" wrapText="1"/>
    </xf>
    <xf numFmtId="3" fontId="26" fillId="0" borderId="17" xfId="0" applyNumberFormat="1" applyFont="1" applyBorder="1" applyAlignment="1">
      <alignment horizontal="left" vertical="center" wrapText="1"/>
    </xf>
    <xf numFmtId="167" fontId="9" fillId="0" borderId="18" xfId="0" applyNumberFormat="1" applyFont="1" applyBorder="1" applyAlignment="1">
      <alignment horizontal="right" vertical="center" wrapText="1"/>
    </xf>
    <xf numFmtId="49" fontId="46" fillId="3" borderId="3" xfId="0" applyNumberFormat="1" applyFont="1" applyFill="1" applyBorder="1" applyAlignment="1">
      <alignment horizontal="center" vertical="center" wrapText="1"/>
    </xf>
    <xf numFmtId="0" fontId="46" fillId="3" borderId="4" xfId="0" applyFont="1" applyFill="1" applyBorder="1" applyAlignment="1">
      <alignment horizontal="center" vertical="top"/>
    </xf>
    <xf numFmtId="0" fontId="41" fillId="3" borderId="3" xfId="0" applyFont="1" applyFill="1" applyBorder="1" applyAlignment="1">
      <alignment vertical="center" wrapText="1"/>
    </xf>
    <xf numFmtId="0" fontId="49" fillId="3" borderId="4" xfId="0" applyFont="1" applyFill="1" applyBorder="1" applyAlignment="1">
      <alignment horizontal="left" vertical="center"/>
    </xf>
    <xf numFmtId="0" fontId="41" fillId="3" borderId="4" xfId="0" applyFont="1" applyFill="1" applyBorder="1"/>
    <xf numFmtId="167" fontId="50" fillId="3" borderId="3" xfId="0" applyNumberFormat="1" applyFont="1" applyFill="1" applyBorder="1" applyAlignment="1">
      <alignment vertical="center" wrapText="1"/>
    </xf>
    <xf numFmtId="167" fontId="41" fillId="3" borderId="6" xfId="0" applyNumberFormat="1" applyFont="1" applyFill="1" applyBorder="1" applyAlignment="1">
      <alignment vertical="center" wrapText="1"/>
    </xf>
    <xf numFmtId="165" fontId="51" fillId="3" borderId="0" xfId="0" applyNumberFormat="1" applyFont="1" applyFill="1"/>
    <xf numFmtId="49" fontId="50" fillId="3" borderId="3" xfId="0" applyNumberFormat="1" applyFont="1" applyFill="1" applyBorder="1" applyAlignment="1">
      <alignment horizontal="center" vertical="center" wrapText="1"/>
    </xf>
    <xf numFmtId="0" fontId="50" fillId="3" borderId="4" xfId="0" applyFont="1" applyFill="1" applyBorder="1" applyAlignment="1">
      <alignment horizontal="center" vertical="top"/>
    </xf>
    <xf numFmtId="0" fontId="41" fillId="3" borderId="4" xfId="0" applyFont="1" applyFill="1" applyBorder="1" applyAlignment="1">
      <alignment horizontal="center" vertical="center" wrapText="1"/>
    </xf>
    <xf numFmtId="165" fontId="51" fillId="0" borderId="0" xfId="0" applyNumberFormat="1" applyFont="1"/>
    <xf numFmtId="0" fontId="41" fillId="2" borderId="0" xfId="0" applyFont="1" applyFill="1" applyAlignment="1">
      <alignment horizontal="center"/>
    </xf>
    <xf numFmtId="167" fontId="52" fillId="0" borderId="14" xfId="0" applyNumberFormat="1" applyFont="1" applyBorder="1" applyAlignment="1">
      <alignment horizontal="center" vertical="center" wrapText="1"/>
    </xf>
    <xf numFmtId="168" fontId="52" fillId="2" borderId="11" xfId="0" applyNumberFormat="1" applyFont="1" applyFill="1" applyBorder="1" applyAlignment="1">
      <alignment horizontal="center" vertical="center" wrapText="1"/>
    </xf>
    <xf numFmtId="3" fontId="52" fillId="0" borderId="13" xfId="0" applyNumberFormat="1" applyFont="1" applyBorder="1" applyAlignment="1">
      <alignment horizontal="left" vertical="center" wrapText="1"/>
    </xf>
    <xf numFmtId="0" fontId="41" fillId="0" borderId="42" xfId="0" applyFont="1" applyBorder="1" applyAlignment="1">
      <alignment horizontal="left" vertical="center" wrapText="1"/>
    </xf>
    <xf numFmtId="168" fontId="52" fillId="2" borderId="20" xfId="0" applyNumberFormat="1" applyFont="1" applyFill="1" applyBorder="1" applyAlignment="1">
      <alignment horizontal="center" vertical="center" wrapText="1"/>
    </xf>
    <xf numFmtId="3" fontId="52" fillId="0" borderId="17" xfId="0" applyNumberFormat="1" applyFont="1" applyBorder="1" applyAlignment="1">
      <alignment horizontal="left" vertical="center" wrapText="1"/>
    </xf>
    <xf numFmtId="0" fontId="52" fillId="2" borderId="17" xfId="0" applyFont="1" applyFill="1" applyBorder="1" applyAlignment="1">
      <alignment horizontal="center" vertical="center" wrapText="1"/>
    </xf>
    <xf numFmtId="167" fontId="53" fillId="2" borderId="23" xfId="0" applyNumberFormat="1" applyFont="1" applyFill="1" applyBorder="1" applyAlignment="1">
      <alignment horizontal="right" vertical="center" wrapText="1"/>
    </xf>
    <xf numFmtId="0" fontId="41" fillId="0" borderId="24" xfId="0" applyFont="1" applyBorder="1" applyAlignment="1">
      <alignment horizontal="left" vertical="center" wrapText="1"/>
    </xf>
    <xf numFmtId="167" fontId="53" fillId="2" borderId="8" xfId="0" applyNumberFormat="1" applyFont="1" applyFill="1" applyBorder="1" applyAlignment="1">
      <alignment horizontal="right" vertical="center" wrapText="1"/>
    </xf>
    <xf numFmtId="167" fontId="54" fillId="2" borderId="8" xfId="0" applyNumberFormat="1" applyFont="1" applyFill="1" applyBorder="1" applyAlignment="1">
      <alignment horizontal="right" vertical="center" wrapText="1"/>
    </xf>
    <xf numFmtId="167" fontId="54" fillId="0" borderId="14" xfId="0" applyNumberFormat="1" applyFont="1" applyBorder="1" applyAlignment="1">
      <alignment horizontal="center" vertical="center" wrapText="1"/>
    </xf>
    <xf numFmtId="167" fontId="54" fillId="0" borderId="19" xfId="0" applyNumberFormat="1" applyFont="1" applyBorder="1" applyAlignment="1">
      <alignment horizontal="center" vertical="center" wrapText="1"/>
    </xf>
    <xf numFmtId="167" fontId="52" fillId="0" borderId="20" xfId="0" applyNumberFormat="1" applyFont="1" applyBorder="1" applyAlignment="1">
      <alignment vertical="center" wrapText="1"/>
    </xf>
    <xf numFmtId="167" fontId="52" fillId="0" borderId="18" xfId="0" applyNumberFormat="1" applyFont="1" applyBorder="1" applyAlignment="1">
      <alignment vertical="center" wrapText="1"/>
    </xf>
    <xf numFmtId="166" fontId="54" fillId="0" borderId="20" xfId="3" applyNumberFormat="1" applyFont="1" applyFill="1" applyBorder="1" applyAlignment="1">
      <alignment horizontal="right" vertical="center" wrapText="1"/>
    </xf>
    <xf numFmtId="165" fontId="54" fillId="0" borderId="17" xfId="3" applyNumberFormat="1" applyFont="1" applyFill="1" applyBorder="1" applyAlignment="1">
      <alignment horizontal="right" vertical="center" wrapText="1"/>
    </xf>
    <xf numFmtId="0" fontId="22" fillId="6" borderId="7" xfId="0" applyFont="1" applyFill="1" applyBorder="1" applyAlignment="1">
      <alignment vertical="center"/>
    </xf>
    <xf numFmtId="0" fontId="22" fillId="6" borderId="7" xfId="0" applyFont="1" applyFill="1" applyBorder="1" applyAlignment="1">
      <alignment vertical="center" wrapText="1"/>
    </xf>
    <xf numFmtId="0" fontId="22" fillId="6" borderId="7" xfId="0" applyFont="1" applyFill="1" applyBorder="1" applyAlignment="1">
      <alignment horizontal="left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vertical="center" wrapText="1"/>
    </xf>
    <xf numFmtId="167" fontId="40" fillId="6" borderId="8" xfId="0" applyNumberFormat="1" applyFont="1" applyFill="1" applyBorder="1" applyAlignment="1">
      <alignment horizontal="center" vertical="center" wrapText="1"/>
    </xf>
    <xf numFmtId="49" fontId="22" fillId="6" borderId="7" xfId="0" applyNumberFormat="1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165" fontId="22" fillId="6" borderId="7" xfId="3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0" fillId="0" borderId="0" xfId="0" applyFont="1" applyAlignment="1">
      <alignment horizontal="left"/>
    </xf>
    <xf numFmtId="167" fontId="30" fillId="0" borderId="0" xfId="0" applyNumberFormat="1" applyFont="1"/>
    <xf numFmtId="0" fontId="10" fillId="2" borderId="0" xfId="0" applyFont="1" applyFill="1"/>
    <xf numFmtId="0" fontId="30" fillId="2" borderId="0" xfId="0" applyFont="1" applyFill="1"/>
    <xf numFmtId="167" fontId="10" fillId="2" borderId="21" xfId="0" applyNumberFormat="1" applyFont="1" applyFill="1" applyBorder="1" applyAlignment="1">
      <alignment horizontal="center" vertical="center" wrapText="1"/>
    </xf>
    <xf numFmtId="167" fontId="10" fillId="2" borderId="21" xfId="0" applyNumberFormat="1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/>
    </xf>
    <xf numFmtId="167" fontId="2" fillId="0" borderId="18" xfId="0" applyNumberFormat="1" applyFont="1" applyBorder="1" applyAlignment="1">
      <alignment vertical="center" wrapText="1"/>
    </xf>
    <xf numFmtId="167" fontId="2" fillId="2" borderId="22" xfId="3" applyNumberFormat="1" applyFont="1" applyFill="1" applyBorder="1" applyAlignment="1">
      <alignment horizontal="right" vertical="center" wrapText="1"/>
    </xf>
    <xf numFmtId="0" fontId="2" fillId="0" borderId="16" xfId="0" applyFont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/>
    </xf>
    <xf numFmtId="3" fontId="2" fillId="0" borderId="17" xfId="0" applyNumberFormat="1" applyFont="1" applyBorder="1" applyAlignment="1">
      <alignment horizontal="left" vertical="center" wrapText="1"/>
    </xf>
    <xf numFmtId="3" fontId="2" fillId="0" borderId="24" xfId="0" applyNumberFormat="1" applyFont="1" applyBorder="1" applyAlignment="1">
      <alignment horizontal="left" vertical="center" wrapText="1"/>
    </xf>
    <xf numFmtId="167" fontId="2" fillId="0" borderId="22" xfId="0" applyNumberFormat="1" applyFont="1" applyBorder="1" applyAlignment="1">
      <alignment horizontal="center" vertical="center" wrapText="1"/>
    </xf>
    <xf numFmtId="168" fontId="2" fillId="2" borderId="20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167" fontId="2" fillId="0" borderId="19" xfId="0" applyNumberFormat="1" applyFont="1" applyBorder="1" applyAlignment="1">
      <alignment horizontal="center" vertical="center" wrapText="1"/>
    </xf>
    <xf numFmtId="167" fontId="2" fillId="0" borderId="14" xfId="0" applyNumberFormat="1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168" fontId="55" fillId="2" borderId="35" xfId="0" applyNumberFormat="1" applyFont="1" applyFill="1" applyBorder="1" applyAlignment="1">
      <alignment horizontal="center" vertical="center" wrapText="1"/>
    </xf>
    <xf numFmtId="3" fontId="55" fillId="0" borderId="42" xfId="0" applyNumberFormat="1" applyFont="1" applyBorder="1" applyAlignment="1">
      <alignment horizontal="left" vertical="center" wrapText="1"/>
    </xf>
    <xf numFmtId="0" fontId="55" fillId="2" borderId="42" xfId="0" applyFont="1" applyFill="1" applyBorder="1" applyAlignment="1">
      <alignment horizontal="center" vertical="center" wrapText="1"/>
    </xf>
    <xf numFmtId="167" fontId="55" fillId="2" borderId="23" xfId="0" applyNumberFormat="1" applyFont="1" applyFill="1" applyBorder="1" applyAlignment="1">
      <alignment horizontal="right" vertical="center" wrapText="1"/>
    </xf>
    <xf numFmtId="166" fontId="55" fillId="0" borderId="20" xfId="3" applyNumberFormat="1" applyFont="1" applyFill="1" applyBorder="1" applyAlignment="1">
      <alignment horizontal="right" vertical="center" wrapText="1"/>
    </xf>
    <xf numFmtId="165" fontId="55" fillId="0" borderId="17" xfId="3" applyNumberFormat="1" applyFont="1" applyFill="1" applyBorder="1" applyAlignment="1">
      <alignment horizontal="right" vertical="center" wrapText="1"/>
    </xf>
    <xf numFmtId="167" fontId="2" fillId="0" borderId="18" xfId="0" applyNumberFormat="1" applyFont="1" applyBorder="1" applyAlignment="1">
      <alignment horizontal="center" vertical="center" wrapText="1"/>
    </xf>
    <xf numFmtId="167" fontId="2" fillId="0" borderId="25" xfId="0" applyNumberFormat="1" applyFont="1" applyBorder="1" applyAlignment="1">
      <alignment horizontal="center" vertical="center" wrapText="1"/>
    </xf>
    <xf numFmtId="166" fontId="2" fillId="0" borderId="20" xfId="3" applyNumberFormat="1" applyFont="1" applyFill="1" applyBorder="1" applyAlignment="1">
      <alignment horizontal="right" vertical="center" wrapText="1"/>
    </xf>
    <xf numFmtId="0" fontId="9" fillId="2" borderId="24" xfId="0" applyFont="1" applyFill="1" applyBorder="1" applyAlignment="1">
      <alignment horizontal="center" vertical="center" wrapText="1"/>
    </xf>
    <xf numFmtId="167" fontId="2" fillId="0" borderId="25" xfId="0" applyNumberFormat="1" applyFont="1" applyBorder="1" applyAlignment="1">
      <alignment vertical="center" wrapText="1"/>
    </xf>
    <xf numFmtId="164" fontId="24" fillId="2" borderId="46" xfId="3" applyFont="1" applyFill="1" applyBorder="1" applyAlignment="1">
      <alignment horizontal="center" vertical="center" wrapText="1"/>
    </xf>
    <xf numFmtId="165" fontId="27" fillId="2" borderId="46" xfId="3" applyNumberFormat="1" applyFont="1" applyFill="1" applyBorder="1" applyAlignment="1">
      <alignment horizontal="right" vertical="center" wrapText="1"/>
    </xf>
    <xf numFmtId="167" fontId="10" fillId="2" borderId="46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167" fontId="19" fillId="0" borderId="0" xfId="0" applyNumberFormat="1" applyFont="1" applyAlignment="1">
      <alignment vertical="center"/>
    </xf>
    <xf numFmtId="0" fontId="23" fillId="0" borderId="4" xfId="3" applyNumberFormat="1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vertical="center" wrapText="1"/>
    </xf>
    <xf numFmtId="3" fontId="2" fillId="0" borderId="42" xfId="0" applyNumberFormat="1" applyFont="1" applyBorder="1" applyAlignment="1">
      <alignment horizontal="left" vertical="center" wrapText="1"/>
    </xf>
    <xf numFmtId="165" fontId="9" fillId="7" borderId="17" xfId="3" applyNumberFormat="1" applyFont="1" applyFill="1" applyBorder="1" applyAlignment="1">
      <alignment horizontal="right" vertical="center" wrapText="1"/>
    </xf>
    <xf numFmtId="167" fontId="2" fillId="0" borderId="20" xfId="0" applyNumberFormat="1" applyFont="1" applyBorder="1" applyAlignment="1">
      <alignment horizontal="center" vertical="center" wrapText="1"/>
    </xf>
    <xf numFmtId="167" fontId="2" fillId="0" borderId="39" xfId="0" applyNumberFormat="1" applyFont="1" applyBorder="1" applyAlignment="1">
      <alignment horizontal="center" vertical="center" wrapText="1"/>
    </xf>
    <xf numFmtId="167" fontId="9" fillId="0" borderId="22" xfId="0" applyNumberFormat="1" applyFont="1" applyBorder="1" applyAlignment="1">
      <alignment vertical="center" wrapText="1"/>
    </xf>
    <xf numFmtId="166" fontId="9" fillId="0" borderId="35" xfId="3" applyNumberFormat="1" applyFont="1" applyFill="1" applyBorder="1" applyAlignment="1">
      <alignment horizontal="right" vertical="center" wrapText="1"/>
    </xf>
    <xf numFmtId="0" fontId="22" fillId="3" borderId="4" xfId="0" applyFont="1" applyFill="1" applyBorder="1" applyAlignment="1">
      <alignment horizontal="left" vertical="top"/>
    </xf>
    <xf numFmtId="0" fontId="58" fillId="8" borderId="27" xfId="0" applyFont="1" applyFill="1" applyBorder="1" applyAlignment="1">
      <alignment horizontal="left" vertical="center"/>
    </xf>
    <xf numFmtId="167" fontId="36" fillId="7" borderId="8" xfId="0" applyNumberFormat="1" applyFont="1" applyFill="1" applyBorder="1" applyAlignment="1">
      <alignment horizontal="center" vertical="center" wrapText="1"/>
    </xf>
    <xf numFmtId="167" fontId="40" fillId="7" borderId="8" xfId="0" applyNumberFormat="1" applyFont="1" applyFill="1" applyBorder="1" applyAlignment="1">
      <alignment horizontal="center" vertical="center" wrapText="1"/>
    </xf>
    <xf numFmtId="3" fontId="9" fillId="0" borderId="24" xfId="0" applyNumberFormat="1" applyFont="1" applyBorder="1" applyAlignment="1">
      <alignment horizontal="center" vertical="center" wrapText="1"/>
    </xf>
    <xf numFmtId="0" fontId="38" fillId="0" borderId="29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165" fontId="2" fillId="2" borderId="25" xfId="3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167" fontId="29" fillId="0" borderId="20" xfId="0" applyNumberFormat="1" applyFont="1" applyBorder="1" applyAlignment="1">
      <alignment vertical="center" wrapText="1"/>
    </xf>
    <xf numFmtId="0" fontId="35" fillId="4" borderId="48" xfId="0" applyFont="1" applyFill="1" applyBorder="1" applyAlignment="1">
      <alignment vertical="center" wrapText="1"/>
    </xf>
    <xf numFmtId="0" fontId="34" fillId="4" borderId="48" xfId="0" applyFont="1" applyFill="1" applyBorder="1" applyAlignment="1">
      <alignment horizontal="left" vertical="center" wrapText="1"/>
    </xf>
    <xf numFmtId="167" fontId="34" fillId="4" borderId="48" xfId="0" applyNumberFormat="1" applyFont="1" applyFill="1" applyBorder="1" applyAlignment="1">
      <alignment horizontal="center" vertical="center" wrapText="1"/>
    </xf>
    <xf numFmtId="167" fontId="35" fillId="4" borderId="48" xfId="0" applyNumberFormat="1" applyFont="1" applyFill="1" applyBorder="1" applyAlignment="1">
      <alignment vertical="center" wrapText="1"/>
    </xf>
    <xf numFmtId="49" fontId="35" fillId="4" borderId="48" xfId="0" applyNumberFormat="1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/>
    </xf>
    <xf numFmtId="0" fontId="34" fillId="4" borderId="48" xfId="0" applyFont="1" applyFill="1" applyBorder="1" applyAlignment="1">
      <alignment horizontal="center" vertical="center" wrapText="1"/>
    </xf>
    <xf numFmtId="165" fontId="34" fillId="4" borderId="48" xfId="3" applyNumberFormat="1" applyFont="1" applyFill="1" applyBorder="1" applyAlignment="1">
      <alignment horizontal="right" vertical="center" wrapText="1"/>
    </xf>
    <xf numFmtId="0" fontId="34" fillId="4" borderId="48" xfId="0" applyFont="1" applyFill="1" applyBorder="1" applyAlignment="1">
      <alignment horizontal="right" vertical="center" wrapText="1"/>
    </xf>
    <xf numFmtId="167" fontId="9" fillId="0" borderId="50" xfId="0" applyNumberFormat="1" applyFont="1" applyBorder="1" applyAlignment="1">
      <alignment vertical="center" wrapText="1"/>
    </xf>
    <xf numFmtId="0" fontId="9" fillId="2" borderId="17" xfId="0" applyFont="1" applyFill="1" applyBorder="1" applyAlignment="1">
      <alignment horizontal="left" vertical="center" wrapText="1"/>
    </xf>
    <xf numFmtId="168" fontId="55" fillId="2" borderId="34" xfId="0" applyNumberFormat="1" applyFont="1" applyFill="1" applyBorder="1" applyAlignment="1">
      <alignment horizontal="center" vertical="center" wrapText="1"/>
    </xf>
    <xf numFmtId="3" fontId="55" fillId="0" borderId="32" xfId="0" applyNumberFormat="1" applyFont="1" applyBorder="1" applyAlignment="1">
      <alignment horizontal="left" vertical="center" wrapText="1"/>
    </xf>
    <xf numFmtId="166" fontId="55" fillId="0" borderId="26" xfId="3" applyNumberFormat="1" applyFont="1" applyFill="1" applyBorder="1" applyAlignment="1">
      <alignment horizontal="right" vertical="center" wrapText="1"/>
    </xf>
    <xf numFmtId="165" fontId="55" fillId="0" borderId="24" xfId="3" applyNumberFormat="1" applyFont="1" applyFill="1" applyBorder="1" applyAlignment="1">
      <alignment horizontal="right" vertical="center" wrapText="1"/>
    </xf>
    <xf numFmtId="0" fontId="11" fillId="0" borderId="15" xfId="0" applyFont="1" applyBorder="1" applyAlignment="1">
      <alignment vertical="center" wrapText="1"/>
    </xf>
    <xf numFmtId="165" fontId="12" fillId="0" borderId="15" xfId="3" applyNumberFormat="1" applyFont="1" applyFill="1" applyBorder="1" applyAlignment="1">
      <alignment horizontal="left" vertical="center" wrapText="1"/>
    </xf>
    <xf numFmtId="167" fontId="12" fillId="0" borderId="15" xfId="3" applyNumberFormat="1" applyFont="1" applyFill="1" applyBorder="1" applyAlignment="1">
      <alignment horizontal="center" vertical="center" wrapText="1"/>
    </xf>
    <xf numFmtId="167" fontId="11" fillId="0" borderId="15" xfId="0" applyNumberFormat="1" applyFont="1" applyBorder="1" applyAlignment="1">
      <alignment vertical="center" wrapText="1"/>
    </xf>
    <xf numFmtId="165" fontId="25" fillId="2" borderId="22" xfId="3" applyNumberFormat="1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168" fontId="2" fillId="2" borderId="11" xfId="0" applyNumberFormat="1" applyFont="1" applyFill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 wrapText="1"/>
    </xf>
    <xf numFmtId="167" fontId="12" fillId="0" borderId="2" xfId="3" applyNumberFormat="1" applyFont="1" applyFill="1" applyBorder="1" applyAlignment="1">
      <alignment horizontal="center" vertical="center" wrapText="1"/>
    </xf>
    <xf numFmtId="167" fontId="11" fillId="0" borderId="2" xfId="0" applyNumberFormat="1" applyFont="1" applyBorder="1" applyAlignment="1">
      <alignment vertical="center" wrapText="1"/>
    </xf>
    <xf numFmtId="0" fontId="12" fillId="0" borderId="2" xfId="0" applyFont="1" applyBorder="1" applyAlignment="1">
      <alignment horizontal="center"/>
    </xf>
    <xf numFmtId="166" fontId="2" fillId="2" borderId="26" xfId="3" applyNumberFormat="1" applyFont="1" applyFill="1" applyBorder="1" applyAlignment="1">
      <alignment horizontal="right" vertical="center" wrapText="1"/>
    </xf>
    <xf numFmtId="167" fontId="14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8" fillId="0" borderId="8" xfId="0" applyNumberFormat="1" applyFont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/>
    </xf>
    <xf numFmtId="167" fontId="30" fillId="0" borderId="0" xfId="0" applyNumberFormat="1" applyFont="1" applyAlignment="1">
      <alignment horizontal="center"/>
    </xf>
    <xf numFmtId="0" fontId="26" fillId="3" borderId="1" xfId="0" applyFont="1" applyFill="1" applyBorder="1" applyAlignment="1">
      <alignment horizontal="right" vertical="center" wrapText="1"/>
    </xf>
    <xf numFmtId="0" fontId="26" fillId="3" borderId="10" xfId="0" applyFont="1" applyFill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167" fontId="10" fillId="2" borderId="16" xfId="0" applyNumberFormat="1" applyFont="1" applyFill="1" applyBorder="1" applyAlignment="1">
      <alignment horizontal="right" vertical="center" wrapText="1"/>
    </xf>
    <xf numFmtId="167" fontId="10" fillId="2" borderId="16" xfId="0" applyNumberFormat="1" applyFont="1" applyFill="1" applyBorder="1" applyAlignment="1">
      <alignment horizontal="center" vertical="center" wrapText="1"/>
    </xf>
    <xf numFmtId="167" fontId="9" fillId="0" borderId="38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57" fillId="0" borderId="53" xfId="4" applyFont="1" applyBorder="1" applyAlignment="1">
      <alignment vertical="top" wrapText="1" indent="2"/>
    </xf>
    <xf numFmtId="0" fontId="9" fillId="0" borderId="3" xfId="0" applyFont="1" applyBorder="1" applyAlignment="1">
      <alignment horizontal="center" vertical="center"/>
    </xf>
    <xf numFmtId="167" fontId="9" fillId="0" borderId="25" xfId="0" applyNumberFormat="1" applyFont="1" applyBorder="1" applyAlignment="1">
      <alignment horizontal="center" vertical="center" wrapText="1"/>
    </xf>
    <xf numFmtId="165" fontId="37" fillId="7" borderId="25" xfId="3" applyNumberFormat="1" applyFont="1" applyFill="1" applyBorder="1" applyAlignment="1">
      <alignment horizontal="right" vertical="center" wrapText="1"/>
    </xf>
    <xf numFmtId="167" fontId="2" fillId="0" borderId="23" xfId="0" applyNumberFormat="1" applyFont="1" applyBorder="1" applyAlignment="1">
      <alignment horizontal="center" vertical="center" wrapText="1"/>
    </xf>
    <xf numFmtId="167" fontId="10" fillId="2" borderId="0" xfId="0" applyNumberFormat="1" applyFont="1" applyFill="1" applyAlignment="1">
      <alignment horizontal="center" vertical="center" wrapText="1"/>
    </xf>
    <xf numFmtId="167" fontId="10" fillId="2" borderId="0" xfId="0" applyNumberFormat="1" applyFont="1" applyFill="1" applyAlignment="1">
      <alignment horizontal="right" vertical="center" wrapText="1"/>
    </xf>
    <xf numFmtId="0" fontId="9" fillId="2" borderId="25" xfId="0" applyFont="1" applyFill="1" applyBorder="1" applyAlignment="1">
      <alignment horizontal="center" vertical="center" wrapText="1"/>
    </xf>
    <xf numFmtId="3" fontId="9" fillId="0" borderId="18" xfId="0" applyNumberFormat="1" applyFont="1" applyBorder="1" applyAlignment="1">
      <alignment horizontal="center" vertical="center" wrapText="1"/>
    </xf>
    <xf numFmtId="165" fontId="33" fillId="0" borderId="18" xfId="3" applyNumberFormat="1" applyFont="1" applyFill="1" applyBorder="1" applyAlignment="1">
      <alignment horizontal="right" vertical="center" wrapText="1"/>
    </xf>
    <xf numFmtId="166" fontId="9" fillId="0" borderId="52" xfId="3" applyNumberFormat="1" applyFont="1" applyFill="1" applyBorder="1" applyAlignment="1">
      <alignment horizontal="right" vertical="center" wrapText="1"/>
    </xf>
    <xf numFmtId="166" fontId="9" fillId="0" borderId="39" xfId="3" applyNumberFormat="1" applyFont="1" applyFill="1" applyBorder="1" applyAlignment="1">
      <alignment horizontal="right" vertical="center" wrapText="1"/>
    </xf>
    <xf numFmtId="167" fontId="2" fillId="0" borderId="54" xfId="0" applyNumberFormat="1" applyFont="1" applyBorder="1" applyAlignment="1">
      <alignment horizontal="center" vertical="center" wrapText="1"/>
    </xf>
    <xf numFmtId="167" fontId="2" fillId="0" borderId="50" xfId="0" applyNumberFormat="1" applyFont="1" applyBorder="1" applyAlignment="1">
      <alignment vertical="center" wrapText="1"/>
    </xf>
    <xf numFmtId="167" fontId="10" fillId="2" borderId="22" xfId="0" applyNumberFormat="1" applyFont="1" applyFill="1" applyBorder="1" applyAlignment="1">
      <alignment horizontal="right" vertical="center" wrapText="1"/>
    </xf>
    <xf numFmtId="167" fontId="9" fillId="2" borderId="39" xfId="0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/>
    </xf>
    <xf numFmtId="166" fontId="2" fillId="7" borderId="26" xfId="3" applyNumberFormat="1" applyFont="1" applyFill="1" applyBorder="1" applyAlignment="1">
      <alignment horizontal="right" vertical="center" wrapText="1"/>
    </xf>
    <xf numFmtId="165" fontId="33" fillId="7" borderId="17" xfId="3" applyNumberFormat="1" applyFont="1" applyFill="1" applyBorder="1" applyAlignment="1">
      <alignment horizontal="right" vertical="center" wrapText="1"/>
    </xf>
    <xf numFmtId="0" fontId="60" fillId="7" borderId="17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67" fontId="2" fillId="0" borderId="37" xfId="0" applyNumberFormat="1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3" fontId="2" fillId="0" borderId="54" xfId="0" applyNumberFormat="1" applyFont="1" applyBorder="1" applyAlignment="1">
      <alignment horizontal="left" vertical="center" wrapText="1"/>
    </xf>
    <xf numFmtId="0" fontId="38" fillId="2" borderId="24" xfId="0" applyFont="1" applyFill="1" applyBorder="1" applyAlignment="1">
      <alignment vertical="center" wrapText="1"/>
    </xf>
    <xf numFmtId="165" fontId="33" fillId="7" borderId="30" xfId="3" applyNumberFormat="1" applyFont="1" applyFill="1" applyBorder="1" applyAlignment="1">
      <alignment horizontal="right" vertical="center" wrapText="1"/>
    </xf>
    <xf numFmtId="3" fontId="2" fillId="0" borderId="13" xfId="0" applyNumberFormat="1" applyFont="1" applyBorder="1" applyAlignment="1">
      <alignment horizontal="left" vertical="center" wrapText="1"/>
    </xf>
    <xf numFmtId="3" fontId="2" fillId="0" borderId="32" xfId="0" applyNumberFormat="1" applyFont="1" applyBorder="1" applyAlignment="1">
      <alignment horizontal="left" vertical="center" wrapText="1"/>
    </xf>
    <xf numFmtId="167" fontId="2" fillId="0" borderId="18" xfId="0" applyNumberFormat="1" applyFont="1" applyBorder="1" applyAlignment="1">
      <alignment horizontal="right" vertical="center" wrapText="1"/>
    </xf>
    <xf numFmtId="0" fontId="60" fillId="7" borderId="24" xfId="0" applyFont="1" applyFill="1" applyBorder="1" applyAlignment="1">
      <alignment horizontal="center" vertical="center"/>
    </xf>
    <xf numFmtId="3" fontId="2" fillId="0" borderId="54" xfId="0" applyNumberFormat="1" applyFont="1" applyBorder="1" applyAlignment="1">
      <alignment horizontal="center" vertical="center" wrapText="1"/>
    </xf>
    <xf numFmtId="167" fontId="2" fillId="0" borderId="27" xfId="0" applyNumberFormat="1" applyFont="1" applyBorder="1" applyAlignment="1">
      <alignment horizontal="center" vertical="center" wrapText="1"/>
    </xf>
    <xf numFmtId="167" fontId="2" fillId="0" borderId="31" xfId="0" applyNumberFormat="1" applyFont="1" applyBorder="1" applyAlignment="1">
      <alignment horizontal="center" vertical="center" wrapText="1"/>
    </xf>
    <xf numFmtId="167" fontId="9" fillId="2" borderId="21" xfId="0" applyNumberFormat="1" applyFont="1" applyFill="1" applyBorder="1" applyAlignment="1">
      <alignment horizontal="center" vertical="center" wrapText="1"/>
    </xf>
    <xf numFmtId="167" fontId="9" fillId="2" borderId="21" xfId="0" applyNumberFormat="1" applyFont="1" applyFill="1" applyBorder="1" applyAlignment="1">
      <alignment horizontal="right" vertical="center" wrapText="1"/>
    </xf>
    <xf numFmtId="0" fontId="58" fillId="8" borderId="57" xfId="0" applyFont="1" applyFill="1" applyBorder="1" applyAlignment="1">
      <alignment horizontal="left" vertical="center"/>
    </xf>
    <xf numFmtId="165" fontId="27" fillId="3" borderId="48" xfId="3" applyNumberFormat="1" applyFont="1" applyFill="1" applyBorder="1" applyAlignment="1">
      <alignment horizontal="center" vertical="center" wrapText="1"/>
    </xf>
    <xf numFmtId="165" fontId="27" fillId="2" borderId="48" xfId="3" applyNumberFormat="1" applyFont="1" applyFill="1" applyBorder="1" applyAlignment="1">
      <alignment horizontal="right" vertical="center" wrapText="1"/>
    </xf>
    <xf numFmtId="0" fontId="58" fillId="8" borderId="58" xfId="0" applyFont="1" applyFill="1" applyBorder="1" applyAlignment="1">
      <alignment horizontal="left" vertical="center"/>
    </xf>
    <xf numFmtId="165" fontId="10" fillId="3" borderId="7" xfId="3" applyNumberFormat="1" applyFont="1" applyFill="1" applyBorder="1" applyAlignment="1">
      <alignment horizontal="center" vertical="center" wrapText="1"/>
    </xf>
    <xf numFmtId="165" fontId="27" fillId="2" borderId="7" xfId="3" applyNumberFormat="1" applyFont="1" applyFill="1" applyBorder="1" applyAlignment="1">
      <alignment horizontal="right" vertical="center" wrapText="1"/>
    </xf>
    <xf numFmtId="0" fontId="26" fillId="3" borderId="7" xfId="0" applyFont="1" applyFill="1" applyBorder="1" applyAlignment="1">
      <alignment horizontal="right" vertical="center" wrapText="1"/>
    </xf>
    <xf numFmtId="0" fontId="2" fillId="2" borderId="28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vertical="center" wrapText="1"/>
    </xf>
    <xf numFmtId="168" fontId="2" fillId="2" borderId="26" xfId="0" applyNumberFormat="1" applyFont="1" applyFill="1" applyBorder="1" applyAlignment="1">
      <alignment horizontal="center" vertical="center" wrapText="1"/>
    </xf>
    <xf numFmtId="3" fontId="2" fillId="0" borderId="32" xfId="0" applyNumberFormat="1" applyFont="1" applyBorder="1" applyAlignment="1">
      <alignment horizontal="center" vertical="center" wrapText="1"/>
    </xf>
    <xf numFmtId="3" fontId="2" fillId="0" borderId="24" xfId="0" applyNumberFormat="1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7" fontId="9" fillId="0" borderId="27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167" fontId="2" fillId="3" borderId="4" xfId="3" applyNumberFormat="1" applyFont="1" applyFill="1" applyBorder="1" applyAlignment="1">
      <alignment horizontal="center" vertical="center" wrapText="1"/>
    </xf>
    <xf numFmtId="167" fontId="2" fillId="3" borderId="3" xfId="0" applyNumberFormat="1" applyFont="1" applyFill="1" applyBorder="1" applyAlignment="1">
      <alignment vertical="center" wrapText="1"/>
    </xf>
    <xf numFmtId="167" fontId="2" fillId="3" borderId="6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3" fontId="61" fillId="0" borderId="24" xfId="0" applyNumberFormat="1" applyFont="1" applyBorder="1" applyAlignment="1">
      <alignment horizontal="left" vertical="center" wrapText="1"/>
    </xf>
    <xf numFmtId="3" fontId="61" fillId="0" borderId="17" xfId="0" applyNumberFormat="1" applyFont="1" applyBorder="1" applyAlignment="1">
      <alignment horizontal="left" vertical="center" wrapText="1"/>
    </xf>
    <xf numFmtId="0" fontId="2" fillId="2" borderId="0" xfId="0" applyFont="1" applyFill="1"/>
    <xf numFmtId="167" fontId="29" fillId="0" borderId="26" xfId="0" applyNumberFormat="1" applyFont="1" applyBorder="1" applyAlignment="1">
      <alignment horizontal="center" vertical="center" wrapText="1"/>
    </xf>
    <xf numFmtId="165" fontId="2" fillId="7" borderId="24" xfId="3" applyNumberFormat="1" applyFont="1" applyFill="1" applyBorder="1" applyAlignment="1">
      <alignment horizontal="right" vertical="center" wrapText="1"/>
    </xf>
    <xf numFmtId="167" fontId="2" fillId="3" borderId="6" xfId="3" applyNumberFormat="1" applyFont="1" applyFill="1" applyBorder="1" applyAlignment="1">
      <alignment horizontal="center" vertical="center" wrapText="1"/>
    </xf>
    <xf numFmtId="165" fontId="55" fillId="7" borderId="17" xfId="3" applyNumberFormat="1" applyFont="1" applyFill="1" applyBorder="1" applyAlignment="1">
      <alignment horizontal="right" vertical="center" wrapText="1"/>
    </xf>
    <xf numFmtId="3" fontId="38" fillId="0" borderId="32" xfId="0" applyNumberFormat="1" applyFont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vertical="center"/>
    </xf>
    <xf numFmtId="167" fontId="2" fillId="0" borderId="61" xfId="0" applyNumberFormat="1" applyFont="1" applyBorder="1" applyAlignment="1">
      <alignment horizontal="center" vertical="center" wrapText="1"/>
    </xf>
    <xf numFmtId="167" fontId="9" fillId="0" borderId="43" xfId="0" applyNumberFormat="1" applyFont="1" applyBorder="1" applyAlignment="1">
      <alignment vertical="center" wrapText="1"/>
    </xf>
    <xf numFmtId="167" fontId="9" fillId="0" borderId="44" xfId="0" applyNumberFormat="1" applyFont="1" applyBorder="1" applyAlignment="1">
      <alignment vertical="center" wrapText="1"/>
    </xf>
    <xf numFmtId="167" fontId="10" fillId="2" borderId="48" xfId="0" applyNumberFormat="1" applyFont="1" applyFill="1" applyBorder="1" applyAlignment="1">
      <alignment horizontal="center" vertical="center" wrapText="1"/>
    </xf>
    <xf numFmtId="168" fontId="55" fillId="2" borderId="43" xfId="0" applyNumberFormat="1" applyFont="1" applyFill="1" applyBorder="1" applyAlignment="1">
      <alignment horizontal="center" vertical="center" wrapText="1"/>
    </xf>
    <xf numFmtId="3" fontId="55" fillId="0" borderId="56" xfId="0" applyNumberFormat="1" applyFont="1" applyBorder="1" applyAlignment="1">
      <alignment horizontal="left" vertical="center" wrapText="1"/>
    </xf>
    <xf numFmtId="0" fontId="55" fillId="2" borderId="56" xfId="0" applyFont="1" applyFill="1" applyBorder="1" applyAlignment="1">
      <alignment horizontal="center" vertical="center" wrapText="1"/>
    </xf>
    <xf numFmtId="167" fontId="55" fillId="2" borderId="48" xfId="0" applyNumberFormat="1" applyFont="1" applyFill="1" applyBorder="1" applyAlignment="1">
      <alignment horizontal="right" vertical="center" wrapText="1"/>
    </xf>
    <xf numFmtId="166" fontId="55" fillId="0" borderId="43" xfId="3" applyNumberFormat="1" applyFont="1" applyFill="1" applyBorder="1" applyAlignment="1">
      <alignment horizontal="right" vertical="center" wrapText="1"/>
    </xf>
    <xf numFmtId="165" fontId="55" fillId="0" borderId="56" xfId="3" applyNumberFormat="1" applyFont="1" applyFill="1" applyBorder="1" applyAlignment="1">
      <alignment horizontal="right" vertical="center" wrapText="1"/>
    </xf>
    <xf numFmtId="166" fontId="55" fillId="0" borderId="60" xfId="3" applyNumberFormat="1" applyFont="1" applyFill="1" applyBorder="1" applyAlignment="1">
      <alignment horizontal="right" vertical="center" wrapText="1"/>
    </xf>
    <xf numFmtId="167" fontId="2" fillId="0" borderId="51" xfId="0" applyNumberFormat="1" applyFont="1" applyBorder="1" applyAlignment="1">
      <alignment vertical="center" wrapText="1"/>
    </xf>
    <xf numFmtId="167" fontId="2" fillId="0" borderId="50" xfId="0" applyNumberFormat="1" applyFont="1" applyBorder="1" applyAlignment="1">
      <alignment horizontal="center" vertical="center" wrapText="1"/>
    </xf>
    <xf numFmtId="167" fontId="2" fillId="0" borderId="50" xfId="0" applyNumberFormat="1" applyFont="1" applyBorder="1" applyAlignment="1">
      <alignment horizontal="right" vertical="center" wrapText="1"/>
    </xf>
    <xf numFmtId="167" fontId="55" fillId="2" borderId="8" xfId="0" applyNumberFormat="1" applyFont="1" applyFill="1" applyBorder="1" applyAlignment="1">
      <alignment horizontal="right" vertical="center" wrapText="1"/>
    </xf>
    <xf numFmtId="3" fontId="61" fillId="0" borderId="13" xfId="0" applyNumberFormat="1" applyFont="1" applyBorder="1" applyAlignment="1">
      <alignment horizontal="center" vertical="center" wrapText="1"/>
    </xf>
    <xf numFmtId="167" fontId="2" fillId="0" borderId="62" xfId="0" applyNumberFormat="1" applyFont="1" applyBorder="1" applyAlignment="1">
      <alignment horizontal="center" vertical="center" wrapText="1"/>
    </xf>
    <xf numFmtId="0" fontId="38" fillId="2" borderId="28" xfId="0" applyFont="1" applyFill="1" applyBorder="1" applyAlignment="1">
      <alignment horizontal="center" vertical="center" wrapText="1"/>
    </xf>
    <xf numFmtId="0" fontId="38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167" fontId="63" fillId="0" borderId="51" xfId="0" applyNumberFormat="1" applyFont="1" applyBorder="1" applyAlignment="1">
      <alignment horizontal="center" vertical="center" wrapText="1"/>
    </xf>
    <xf numFmtId="0" fontId="60" fillId="7" borderId="17" xfId="0" applyFont="1" applyFill="1" applyBorder="1" applyAlignment="1">
      <alignment horizontal="center" wrapText="1"/>
    </xf>
    <xf numFmtId="0" fontId="38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58" fillId="8" borderId="64" xfId="0" applyFont="1" applyFill="1" applyBorder="1" applyAlignment="1">
      <alignment horizontal="left" vertical="center"/>
    </xf>
    <xf numFmtId="167" fontId="62" fillId="0" borderId="31" xfId="0" applyNumberFormat="1" applyFont="1" applyBorder="1" applyAlignment="1">
      <alignment horizontal="center" vertical="center" wrapText="1"/>
    </xf>
    <xf numFmtId="167" fontId="9" fillId="0" borderId="35" xfId="0" applyNumberFormat="1" applyFont="1" applyBorder="1" applyAlignment="1">
      <alignment vertical="center" wrapText="1"/>
    </xf>
    <xf numFmtId="167" fontId="9" fillId="0" borderId="30" xfId="0" applyNumberFormat="1" applyFont="1" applyBorder="1" applyAlignment="1">
      <alignment horizontal="center" vertical="center" wrapText="1"/>
    </xf>
    <xf numFmtId="167" fontId="2" fillId="0" borderId="55" xfId="0" applyNumberFormat="1" applyFont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3" fontId="2" fillId="0" borderId="42" xfId="0" applyNumberFormat="1" applyFont="1" applyBorder="1" applyAlignment="1">
      <alignment horizontal="center" vertical="center" wrapText="1"/>
    </xf>
    <xf numFmtId="3" fontId="2" fillId="0" borderId="32" xfId="0" applyNumberFormat="1" applyFont="1" applyBorder="1" applyAlignment="1">
      <alignment vertical="center" wrapText="1"/>
    </xf>
    <xf numFmtId="167" fontId="2" fillId="0" borderId="51" xfId="0" applyNumberFormat="1" applyFont="1" applyBorder="1" applyAlignment="1">
      <alignment horizontal="center" vertical="center" wrapText="1"/>
    </xf>
    <xf numFmtId="167" fontId="9" fillId="2" borderId="16" xfId="0" applyNumberFormat="1" applyFont="1" applyFill="1" applyBorder="1" applyAlignment="1">
      <alignment horizontal="center" vertical="center" wrapText="1"/>
    </xf>
    <xf numFmtId="167" fontId="9" fillId="2" borderId="16" xfId="0" applyNumberFormat="1" applyFont="1" applyFill="1" applyBorder="1" applyAlignment="1">
      <alignment horizontal="right" vertical="center" wrapText="1"/>
    </xf>
    <xf numFmtId="0" fontId="9" fillId="0" borderId="31" xfId="0" applyFont="1" applyBorder="1" applyAlignment="1">
      <alignment vertical="center" wrapText="1"/>
    </xf>
    <xf numFmtId="165" fontId="2" fillId="7" borderId="25" xfId="3" applyNumberFormat="1" applyFont="1" applyFill="1" applyBorder="1" applyAlignment="1">
      <alignment horizontal="right" vertical="center" wrapText="1"/>
    </xf>
    <xf numFmtId="168" fontId="61" fillId="2" borderId="26" xfId="0" applyNumberFormat="1" applyFont="1" applyFill="1" applyBorder="1" applyAlignment="1">
      <alignment horizontal="center" vertical="center" wrapText="1"/>
    </xf>
    <xf numFmtId="166" fontId="61" fillId="0" borderId="20" xfId="3" applyNumberFormat="1" applyFont="1" applyFill="1" applyBorder="1" applyAlignment="1">
      <alignment horizontal="right" vertical="center" wrapText="1"/>
    </xf>
    <xf numFmtId="166" fontId="61" fillId="0" borderId="26" xfId="3" applyNumberFormat="1" applyFont="1" applyFill="1" applyBorder="1" applyAlignment="1">
      <alignment horizontal="right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165" fontId="22" fillId="5" borderId="7" xfId="0" applyNumberFormat="1" applyFont="1" applyFill="1" applyBorder="1" applyAlignment="1">
      <alignment horizontal="center" vertical="center" wrapText="1"/>
    </xf>
    <xf numFmtId="2" fontId="38" fillId="2" borderId="51" xfId="0" applyNumberFormat="1" applyFont="1" applyFill="1" applyBorder="1" applyAlignment="1">
      <alignment horizontal="center" vertical="center" wrapText="1"/>
    </xf>
    <xf numFmtId="167" fontId="62" fillId="0" borderId="26" xfId="0" applyNumberFormat="1" applyFont="1" applyBorder="1" applyAlignment="1">
      <alignment horizontal="center" vertical="center" wrapText="1"/>
    </xf>
    <xf numFmtId="0" fontId="38" fillId="2" borderId="4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3" fontId="55" fillId="0" borderId="24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167" fontId="2" fillId="2" borderId="39" xfId="0" applyNumberFormat="1" applyFont="1" applyFill="1" applyBorder="1" applyAlignment="1">
      <alignment horizontal="center" vertical="center" wrapText="1"/>
    </xf>
    <xf numFmtId="167" fontId="29" fillId="0" borderId="20" xfId="0" applyNumberFormat="1" applyFont="1" applyBorder="1" applyAlignment="1">
      <alignment horizontal="center" vertical="center" wrapText="1"/>
    </xf>
    <xf numFmtId="167" fontId="2" fillId="2" borderId="0" xfId="0" applyNumberFormat="1" applyFont="1" applyFill="1" applyAlignment="1">
      <alignment horizontal="right" vertical="center" wrapText="1"/>
    </xf>
    <xf numFmtId="165" fontId="2" fillId="0" borderId="17" xfId="3" applyNumberFormat="1" applyFont="1" applyFill="1" applyBorder="1" applyAlignment="1">
      <alignment horizontal="right" vertical="center" wrapText="1"/>
    </xf>
    <xf numFmtId="167" fontId="2" fillId="2" borderId="23" xfId="0" applyNumberFormat="1" applyFont="1" applyFill="1" applyBorder="1" applyAlignment="1">
      <alignment horizontal="right" vertical="center" wrapText="1"/>
    </xf>
    <xf numFmtId="0" fontId="2" fillId="2" borderId="51" xfId="0" applyFont="1" applyFill="1" applyBorder="1" applyAlignment="1">
      <alignment vertical="center" wrapText="1"/>
    </xf>
    <xf numFmtId="0" fontId="38" fillId="2" borderId="24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67" fontId="2" fillId="2" borderId="23" xfId="0" applyNumberFormat="1" applyFont="1" applyFill="1" applyBorder="1" applyAlignment="1">
      <alignment horizontal="center" vertical="center" wrapText="1"/>
    </xf>
    <xf numFmtId="167" fontId="2" fillId="0" borderId="30" xfId="0" applyNumberFormat="1" applyFont="1" applyBorder="1" applyAlignment="1">
      <alignment horizontal="center" vertical="center" wrapText="1"/>
    </xf>
    <xf numFmtId="167" fontId="29" fillId="0" borderId="31" xfId="0" applyNumberFormat="1" applyFont="1" applyBorder="1" applyAlignment="1">
      <alignment vertical="center" wrapText="1"/>
    </xf>
    <xf numFmtId="0" fontId="38" fillId="2" borderId="55" xfId="0" applyFont="1" applyFill="1" applyBorder="1" applyAlignment="1">
      <alignment horizontal="center" vertical="center" wrapText="1"/>
    </xf>
    <xf numFmtId="168" fontId="61" fillId="2" borderId="20" xfId="0" applyNumberFormat="1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 wrapText="1"/>
    </xf>
    <xf numFmtId="0" fontId="2" fillId="2" borderId="55" xfId="0" applyFont="1" applyFill="1" applyBorder="1" applyAlignment="1">
      <alignment vertical="center" wrapText="1"/>
    </xf>
    <xf numFmtId="167" fontId="63" fillId="0" borderId="59" xfId="0" applyNumberFormat="1" applyFont="1" applyBorder="1" applyAlignment="1">
      <alignment horizontal="center" vertical="center" wrapText="1"/>
    </xf>
    <xf numFmtId="167" fontId="2" fillId="0" borderId="67" xfId="0" applyNumberFormat="1" applyFont="1" applyBorder="1" applyAlignment="1">
      <alignment horizontal="center" vertical="center" wrapText="1"/>
    </xf>
    <xf numFmtId="167" fontId="2" fillId="0" borderId="52" xfId="0" applyNumberFormat="1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3" fontId="2" fillId="0" borderId="66" xfId="0" applyNumberFormat="1" applyFont="1" applyBorder="1" applyAlignment="1">
      <alignment horizontal="left" vertical="center" wrapText="1"/>
    </xf>
    <xf numFmtId="167" fontId="62" fillId="0" borderId="37" xfId="0" applyNumberFormat="1" applyFont="1" applyBorder="1" applyAlignment="1">
      <alignment horizontal="center" vertical="center" wrapText="1"/>
    </xf>
    <xf numFmtId="4" fontId="61" fillId="0" borderId="20" xfId="0" applyNumberFormat="1" applyFont="1" applyBorder="1" applyAlignment="1">
      <alignment horizontal="center" vertical="center" wrapText="1"/>
    </xf>
    <xf numFmtId="4" fontId="9" fillId="0" borderId="34" xfId="0" applyNumberFormat="1" applyFont="1" applyBorder="1" applyAlignment="1">
      <alignment vertical="center" wrapText="1"/>
    </xf>
    <xf numFmtId="4" fontId="9" fillId="0" borderId="20" xfId="0" applyNumberFormat="1" applyFont="1" applyBorder="1" applyAlignment="1">
      <alignment vertical="center" wrapText="1"/>
    </xf>
    <xf numFmtId="4" fontId="9" fillId="0" borderId="26" xfId="0" applyNumberFormat="1" applyFont="1" applyBorder="1" applyAlignment="1">
      <alignment vertical="center" wrapText="1"/>
    </xf>
    <xf numFmtId="4" fontId="29" fillId="0" borderId="26" xfId="0" applyNumberFormat="1" applyFont="1" applyBorder="1" applyAlignment="1">
      <alignment horizontal="center" vertical="center" wrapText="1"/>
    </xf>
    <xf numFmtId="4" fontId="26" fillId="3" borderId="3" xfId="0" applyNumberFormat="1" applyFont="1" applyFill="1" applyBorder="1" applyAlignment="1">
      <alignment vertical="center" wrapText="1"/>
    </xf>
    <xf numFmtId="4" fontId="59" fillId="0" borderId="51" xfId="0" applyNumberFormat="1" applyFont="1" applyBorder="1" applyAlignment="1">
      <alignment horizontal="center" vertical="center" wrapText="1"/>
    </xf>
    <xf numFmtId="4" fontId="2" fillId="0" borderId="31" xfId="0" applyNumberFormat="1" applyFont="1" applyBorder="1" applyAlignment="1">
      <alignment horizontal="center" vertical="center" wrapText="1"/>
    </xf>
    <xf numFmtId="4" fontId="2" fillId="0" borderId="51" xfId="0" applyNumberFormat="1" applyFont="1" applyBorder="1" applyAlignment="1">
      <alignment horizontal="center" vertical="center" wrapText="1"/>
    </xf>
    <xf numFmtId="4" fontId="2" fillId="0" borderId="20" xfId="0" applyNumberFormat="1" applyFont="1" applyBorder="1" applyAlignment="1">
      <alignment vertical="center" wrapText="1"/>
    </xf>
    <xf numFmtId="4" fontId="9" fillId="3" borderId="6" xfId="3" applyNumberFormat="1" applyFont="1" applyFill="1" applyBorder="1" applyAlignment="1">
      <alignment horizontal="center" vertical="center" wrapText="1"/>
    </xf>
    <xf numFmtId="4" fontId="9" fillId="3" borderId="3" xfId="0" applyNumberFormat="1" applyFont="1" applyFill="1" applyBorder="1" applyAlignment="1">
      <alignment vertical="center" wrapText="1"/>
    </xf>
    <xf numFmtId="4" fontId="19" fillId="5" borderId="7" xfId="0" applyNumberFormat="1" applyFont="1" applyFill="1" applyBorder="1" applyAlignment="1">
      <alignment vertical="center" wrapText="1"/>
    </xf>
    <xf numFmtId="167" fontId="62" fillId="0" borderId="55" xfId="0" applyNumberFormat="1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center" vertical="center" wrapText="1"/>
    </xf>
    <xf numFmtId="4" fontId="2" fillId="0" borderId="20" xfId="0" applyNumberFormat="1" applyFont="1" applyBorder="1" applyAlignment="1">
      <alignment horizontal="center" vertical="center" wrapText="1"/>
    </xf>
    <xf numFmtId="2" fontId="55" fillId="0" borderId="17" xfId="0" applyNumberFormat="1" applyFont="1" applyBorder="1" applyAlignment="1">
      <alignment horizontal="left" vertical="center" wrapText="1"/>
    </xf>
    <xf numFmtId="0" fontId="55" fillId="2" borderId="18" xfId="0" applyFont="1" applyFill="1" applyBorder="1" applyAlignment="1">
      <alignment horizontal="center" vertical="center" wrapText="1"/>
    </xf>
    <xf numFmtId="167" fontId="9" fillId="0" borderId="55" xfId="0" applyNumberFormat="1" applyFont="1" applyBorder="1" applyAlignment="1">
      <alignment vertical="center" wrapText="1"/>
    </xf>
    <xf numFmtId="167" fontId="9" fillId="2" borderId="22" xfId="0" applyNumberFormat="1" applyFont="1" applyFill="1" applyBorder="1" applyAlignment="1">
      <alignment horizontal="right" vertical="center" wrapText="1"/>
    </xf>
    <xf numFmtId="165" fontId="61" fillId="7" borderId="17" xfId="3" applyNumberFormat="1" applyFont="1" applyFill="1" applyBorder="1" applyAlignment="1">
      <alignment horizontal="right" vertical="center" wrapText="1"/>
    </xf>
    <xf numFmtId="167" fontId="61" fillId="2" borderId="23" xfId="0" applyNumberFormat="1" applyFont="1" applyFill="1" applyBorder="1" applyAlignment="1">
      <alignment horizontal="center" vertical="center" wrapText="1"/>
    </xf>
    <xf numFmtId="167" fontId="61" fillId="2" borderId="23" xfId="0" applyNumberFormat="1" applyFont="1" applyFill="1" applyBorder="1" applyAlignment="1">
      <alignment horizontal="right" vertical="center" wrapText="1"/>
    </xf>
    <xf numFmtId="2" fontId="55" fillId="0" borderId="42" xfId="0" applyNumberFormat="1" applyFont="1" applyBorder="1" applyAlignment="1">
      <alignment horizontal="left" vertical="center" wrapText="1"/>
    </xf>
    <xf numFmtId="0" fontId="55" fillId="2" borderId="54" xfId="0" applyFont="1" applyFill="1" applyBorder="1" applyAlignment="1">
      <alignment horizontal="center" vertical="center" wrapText="1"/>
    </xf>
    <xf numFmtId="0" fontId="38" fillId="2" borderId="63" xfId="0" applyFont="1" applyFill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60" fillId="7" borderId="13" xfId="0" applyFont="1" applyFill="1" applyBorder="1" applyAlignment="1">
      <alignment horizontal="center" vertical="center"/>
    </xf>
    <xf numFmtId="167" fontId="9" fillId="0" borderId="21" xfId="0" applyNumberFormat="1" applyFont="1" applyBorder="1" applyAlignment="1">
      <alignment vertical="center" wrapText="1"/>
    </xf>
    <xf numFmtId="0" fontId="2" fillId="7" borderId="13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vertical="center" wrapText="1"/>
    </xf>
    <xf numFmtId="0" fontId="23" fillId="2" borderId="31" xfId="0" applyFont="1" applyFill="1" applyBorder="1" applyAlignment="1">
      <alignment horizontal="center" wrapText="1"/>
    </xf>
    <xf numFmtId="0" fontId="2" fillId="7" borderId="24" xfId="0" applyFont="1" applyFill="1" applyBorder="1" applyAlignment="1">
      <alignment vertical="center" wrapText="1"/>
    </xf>
    <xf numFmtId="4" fontId="62" fillId="0" borderId="20" xfId="0" applyNumberFormat="1" applyFont="1" applyBorder="1" applyAlignment="1">
      <alignment horizontal="center" vertical="center" wrapText="1"/>
    </xf>
    <xf numFmtId="168" fontId="55" fillId="2" borderId="20" xfId="0" applyNumberFormat="1" applyFont="1" applyFill="1" applyBorder="1" applyAlignment="1">
      <alignment horizontal="center" vertical="center" wrapText="1"/>
    </xf>
    <xf numFmtId="0" fontId="61" fillId="2" borderId="0" xfId="0" applyFont="1" applyFill="1" applyAlignment="1">
      <alignment horizontal="center"/>
    </xf>
    <xf numFmtId="2" fontId="61" fillId="2" borderId="20" xfId="0" applyNumberFormat="1" applyFont="1" applyFill="1" applyBorder="1" applyAlignment="1">
      <alignment horizontal="center" vertical="center" wrapText="1"/>
    </xf>
    <xf numFmtId="2" fontId="61" fillId="2" borderId="35" xfId="0" applyNumberFormat="1" applyFont="1" applyFill="1" applyBorder="1" applyAlignment="1">
      <alignment horizontal="center" vertical="center" wrapText="1"/>
    </xf>
    <xf numFmtId="168" fontId="2" fillId="10" borderId="35" xfId="0" applyNumberFormat="1" applyFont="1" applyFill="1" applyBorder="1" applyAlignment="1">
      <alignment horizontal="center" vertical="center" wrapText="1"/>
    </xf>
    <xf numFmtId="3" fontId="2" fillId="10" borderId="42" xfId="0" applyNumberFormat="1" applyFont="1" applyFill="1" applyBorder="1" applyAlignment="1">
      <alignment horizontal="left" vertical="center" wrapText="1"/>
    </xf>
    <xf numFmtId="0" fontId="2" fillId="10" borderId="42" xfId="0" applyFont="1" applyFill="1" applyBorder="1" applyAlignment="1">
      <alignment horizontal="center" vertical="center" wrapText="1"/>
    </xf>
    <xf numFmtId="167" fontId="2" fillId="10" borderId="23" xfId="0" applyNumberFormat="1" applyFont="1" applyFill="1" applyBorder="1" applyAlignment="1">
      <alignment horizontal="right" vertical="center" wrapText="1"/>
    </xf>
    <xf numFmtId="166" fontId="2" fillId="10" borderId="20" xfId="3" applyNumberFormat="1" applyFont="1" applyFill="1" applyBorder="1" applyAlignment="1">
      <alignment horizontal="right" vertical="center" wrapText="1"/>
    </xf>
    <xf numFmtId="165" fontId="2" fillId="10" borderId="17" xfId="3" applyNumberFormat="1" applyFont="1" applyFill="1" applyBorder="1" applyAlignment="1">
      <alignment horizontal="right" vertical="center" wrapText="1"/>
    </xf>
    <xf numFmtId="166" fontId="2" fillId="10" borderId="26" xfId="3" applyNumberFormat="1" applyFont="1" applyFill="1" applyBorder="1" applyAlignment="1">
      <alignment horizontal="right" vertical="center" wrapText="1"/>
    </xf>
    <xf numFmtId="167" fontId="2" fillId="10" borderId="19" xfId="0" applyNumberFormat="1" applyFont="1" applyFill="1" applyBorder="1" applyAlignment="1">
      <alignment horizontal="center" vertical="center" wrapText="1"/>
    </xf>
    <xf numFmtId="167" fontId="9" fillId="10" borderId="20" xfId="0" applyNumberFormat="1" applyFont="1" applyFill="1" applyBorder="1" applyAlignment="1">
      <alignment vertical="center" wrapText="1"/>
    </xf>
    <xf numFmtId="167" fontId="2" fillId="10" borderId="18" xfId="0" applyNumberFormat="1" applyFont="1" applyFill="1" applyBorder="1" applyAlignment="1">
      <alignment horizontal="right" vertical="center" wrapText="1"/>
    </xf>
    <xf numFmtId="167" fontId="61" fillId="0" borderId="25" xfId="0" applyNumberFormat="1" applyFont="1" applyBorder="1" applyAlignment="1">
      <alignment horizontal="center" vertical="center" wrapText="1"/>
    </xf>
    <xf numFmtId="167" fontId="61" fillId="0" borderId="39" xfId="0" applyNumberFormat="1" applyFont="1" applyBorder="1" applyAlignment="1">
      <alignment horizontal="center" vertical="center" wrapText="1"/>
    </xf>
    <xf numFmtId="167" fontId="61" fillId="0" borderId="26" xfId="0" applyNumberFormat="1" applyFont="1" applyBorder="1" applyAlignment="1">
      <alignment vertical="center" wrapText="1"/>
    </xf>
    <xf numFmtId="0" fontId="64" fillId="7" borderId="17" xfId="0" applyFont="1" applyFill="1" applyBorder="1" applyAlignment="1">
      <alignment horizontal="center" wrapText="1"/>
    </xf>
    <xf numFmtId="165" fontId="61" fillId="0" borderId="24" xfId="3" applyNumberFormat="1" applyFont="1" applyFill="1" applyBorder="1" applyAlignment="1">
      <alignment horizontal="right" vertical="center" wrapText="1"/>
    </xf>
    <xf numFmtId="167" fontId="2" fillId="0" borderId="21" xfId="0" applyNumberFormat="1" applyFont="1" applyBorder="1" applyAlignment="1">
      <alignment horizontal="center" vertical="center" wrapText="1"/>
    </xf>
    <xf numFmtId="167" fontId="2" fillId="0" borderId="13" xfId="0" applyNumberFormat="1" applyFont="1" applyBorder="1" applyAlignment="1">
      <alignment horizontal="center" vertical="center" wrapText="1"/>
    </xf>
    <xf numFmtId="167" fontId="9" fillId="0" borderId="13" xfId="0" applyNumberFormat="1" applyFont="1" applyBorder="1" applyAlignment="1">
      <alignment vertical="center" wrapText="1"/>
    </xf>
    <xf numFmtId="167" fontId="2" fillId="0" borderId="24" xfId="0" applyNumberFormat="1" applyFont="1" applyBorder="1" applyAlignment="1">
      <alignment horizontal="center" vertical="center" wrapText="1"/>
    </xf>
    <xf numFmtId="167" fontId="2" fillId="0" borderId="17" xfId="0" applyNumberFormat="1" applyFont="1" applyBorder="1" applyAlignment="1">
      <alignment horizontal="center" vertical="center" wrapText="1"/>
    </xf>
    <xf numFmtId="167" fontId="9" fillId="0" borderId="24" xfId="0" applyNumberFormat="1" applyFont="1" applyBorder="1" applyAlignment="1">
      <alignment vertical="center" wrapText="1"/>
    </xf>
    <xf numFmtId="167" fontId="2" fillId="0" borderId="36" xfId="0" applyNumberFormat="1" applyFont="1" applyBorder="1" applyAlignment="1">
      <alignment horizontal="center" vertical="center" wrapText="1"/>
    </xf>
    <xf numFmtId="167" fontId="2" fillId="0" borderId="56" xfId="0" applyNumberFormat="1" applyFont="1" applyBorder="1" applyAlignment="1">
      <alignment horizontal="center" vertical="center" wrapText="1"/>
    </xf>
    <xf numFmtId="167" fontId="9" fillId="0" borderId="36" xfId="0" applyNumberFormat="1" applyFont="1" applyBorder="1" applyAlignment="1">
      <alignment vertical="center" wrapText="1"/>
    </xf>
    <xf numFmtId="165" fontId="61" fillId="9" borderId="17" xfId="3" applyNumberFormat="1" applyFont="1" applyFill="1" applyBorder="1" applyAlignment="1">
      <alignment horizontal="right" vertical="center" wrapText="1"/>
    </xf>
    <xf numFmtId="165" fontId="2" fillId="9" borderId="17" xfId="3" applyNumberFormat="1" applyFont="1" applyFill="1" applyBorder="1" applyAlignment="1">
      <alignment horizontal="right" vertical="center" wrapText="1"/>
    </xf>
    <xf numFmtId="167" fontId="2" fillId="2" borderId="8" xfId="0" applyNumberFormat="1" applyFont="1" applyFill="1" applyBorder="1" applyAlignment="1">
      <alignment horizontal="center" vertical="center" wrapText="1"/>
    </xf>
    <xf numFmtId="166" fontId="2" fillId="9" borderId="26" xfId="3" applyNumberFormat="1" applyFont="1" applyFill="1" applyBorder="1" applyAlignment="1">
      <alignment horizontal="right" vertical="center" wrapText="1"/>
    </xf>
    <xf numFmtId="167" fontId="66" fillId="0" borderId="31" xfId="0" applyNumberFormat="1" applyFont="1" applyBorder="1" applyAlignment="1">
      <alignment horizontal="center" vertical="center" wrapText="1"/>
    </xf>
    <xf numFmtId="167" fontId="67" fillId="0" borderId="3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2" fillId="0" borderId="4" xfId="3" applyNumberFormat="1" applyFont="1" applyFill="1" applyBorder="1" applyAlignment="1">
      <alignment horizontal="center" vertical="center" wrapText="1"/>
    </xf>
    <xf numFmtId="165" fontId="26" fillId="3" borderId="3" xfId="3" applyNumberFormat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165" fontId="12" fillId="0" borderId="2" xfId="3" applyNumberFormat="1" applyFont="1" applyFill="1" applyBorder="1" applyAlignment="1">
      <alignment horizontal="center" vertical="center" wrapText="1"/>
    </xf>
    <xf numFmtId="165" fontId="12" fillId="0" borderId="15" xfId="3" applyNumberFormat="1" applyFont="1" applyFill="1" applyBorder="1" applyAlignment="1">
      <alignment horizontal="center" vertical="center" wrapText="1"/>
    </xf>
    <xf numFmtId="3" fontId="9" fillId="0" borderId="32" xfId="0" applyNumberFormat="1" applyFont="1" applyBorder="1" applyAlignment="1">
      <alignment horizontal="center" vertical="center" wrapText="1"/>
    </xf>
    <xf numFmtId="3" fontId="9" fillId="0" borderId="36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3" fontId="9" fillId="0" borderId="31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3" fontId="9" fillId="0" borderId="32" xfId="0" applyNumberFormat="1" applyFont="1" applyBorder="1" applyAlignment="1">
      <alignment horizontal="center" vertical="center"/>
    </xf>
    <xf numFmtId="3" fontId="30" fillId="0" borderId="32" xfId="0" applyNumberFormat="1" applyFont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0" fontId="41" fillId="0" borderId="42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167" fontId="10" fillId="2" borderId="47" xfId="0" applyNumberFormat="1" applyFont="1" applyFill="1" applyBorder="1" applyAlignment="1">
      <alignment horizontal="right" vertical="center" wrapText="1"/>
    </xf>
    <xf numFmtId="0" fontId="60" fillId="7" borderId="25" xfId="0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2" fillId="2" borderId="60" xfId="0" applyNumberFormat="1" applyFont="1" applyFill="1" applyBorder="1" applyAlignment="1">
      <alignment horizontal="center" vertical="center" wrapText="1"/>
    </xf>
    <xf numFmtId="3" fontId="61" fillId="0" borderId="36" xfId="0" applyNumberFormat="1" applyFont="1" applyBorder="1" applyAlignment="1">
      <alignment horizontal="left" vertical="center" wrapText="1"/>
    </xf>
    <xf numFmtId="0" fontId="9" fillId="2" borderId="38" xfId="0" applyFont="1" applyFill="1" applyBorder="1" applyAlignment="1">
      <alignment horizontal="center" vertical="center" wrapText="1"/>
    </xf>
    <xf numFmtId="4" fontId="2" fillId="0" borderId="26" xfId="0" applyNumberFormat="1" applyFont="1" applyBorder="1" applyAlignment="1">
      <alignment horizontal="center" vertical="center" wrapText="1"/>
    </xf>
    <xf numFmtId="4" fontId="9" fillId="10" borderId="20" xfId="0" applyNumberFormat="1" applyFont="1" applyFill="1" applyBorder="1" applyAlignment="1">
      <alignment vertical="center" wrapText="1"/>
    </xf>
    <xf numFmtId="4" fontId="9" fillId="0" borderId="35" xfId="0" applyNumberFormat="1" applyFont="1" applyBorder="1" applyAlignment="1">
      <alignment vertical="center" wrapText="1"/>
    </xf>
    <xf numFmtId="4" fontId="9" fillId="0" borderId="43" xfId="0" applyNumberFormat="1" applyFont="1" applyBorder="1" applyAlignment="1">
      <alignment vertical="center" wrapText="1"/>
    </xf>
    <xf numFmtId="4" fontId="35" fillId="4" borderId="48" xfId="0" applyNumberFormat="1" applyFont="1" applyFill="1" applyBorder="1" applyAlignment="1">
      <alignment vertical="center" wrapText="1"/>
    </xf>
    <xf numFmtId="4" fontId="2" fillId="0" borderId="51" xfId="0" applyNumberFormat="1" applyFont="1" applyBorder="1" applyAlignment="1">
      <alignment vertical="center" wrapText="1"/>
    </xf>
    <xf numFmtId="167" fontId="9" fillId="0" borderId="16" xfId="0" applyNumberFormat="1" applyFont="1" applyBorder="1"/>
    <xf numFmtId="167" fontId="9" fillId="0" borderId="46" xfId="0" applyNumberFormat="1" applyFont="1" applyBorder="1"/>
    <xf numFmtId="167" fontId="9" fillId="0" borderId="40" xfId="0" applyNumberFormat="1" applyFont="1" applyBorder="1"/>
    <xf numFmtId="167" fontId="9" fillId="0" borderId="49" xfId="0" applyNumberFormat="1" applyFont="1" applyBorder="1"/>
    <xf numFmtId="3" fontId="2" fillId="0" borderId="0" xfId="0" applyNumberFormat="1" applyFont="1" applyAlignment="1">
      <alignment vertical="center" wrapText="1"/>
    </xf>
    <xf numFmtId="165" fontId="2" fillId="0" borderId="24" xfId="3" applyNumberFormat="1" applyFont="1" applyFill="1" applyBorder="1" applyAlignment="1">
      <alignment horizontal="right" vertical="center" wrapText="1"/>
    </xf>
    <xf numFmtId="166" fontId="2" fillId="0" borderId="26" xfId="3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center"/>
    </xf>
    <xf numFmtId="164" fontId="24" fillId="2" borderId="48" xfId="3" applyFont="1" applyFill="1" applyBorder="1" applyAlignment="1">
      <alignment horizontal="center" vertical="center" wrapText="1"/>
    </xf>
    <xf numFmtId="164" fontId="24" fillId="2" borderId="49" xfId="3" applyFont="1" applyFill="1" applyBorder="1" applyAlignment="1">
      <alignment horizontal="center" vertical="center" wrapText="1"/>
    </xf>
    <xf numFmtId="166" fontId="9" fillId="0" borderId="68" xfId="3" applyNumberFormat="1" applyFont="1" applyFill="1" applyBorder="1" applyAlignment="1">
      <alignment horizontal="right" vertical="center" wrapText="1"/>
    </xf>
    <xf numFmtId="165" fontId="9" fillId="0" borderId="69" xfId="3" applyNumberFormat="1" applyFont="1" applyFill="1" applyBorder="1" applyAlignment="1">
      <alignment horizontal="right" vertical="center" wrapText="1"/>
    </xf>
    <xf numFmtId="166" fontId="9" fillId="0" borderId="60" xfId="3" applyNumberFormat="1" applyFont="1" applyFill="1" applyBorder="1" applyAlignment="1">
      <alignment horizontal="right" vertical="center" wrapText="1"/>
    </xf>
    <xf numFmtId="165" fontId="9" fillId="0" borderId="38" xfId="3" applyNumberFormat="1" applyFont="1" applyFill="1" applyBorder="1" applyAlignment="1">
      <alignment horizontal="right" vertical="center" wrapText="1"/>
    </xf>
    <xf numFmtId="166" fontId="2" fillId="2" borderId="20" xfId="3" applyNumberFormat="1" applyFont="1" applyFill="1" applyBorder="1" applyAlignment="1">
      <alignment horizontal="right" vertical="center" wrapText="1"/>
    </xf>
    <xf numFmtId="165" fontId="2" fillId="2" borderId="18" xfId="3" applyNumberFormat="1" applyFont="1" applyFill="1" applyBorder="1" applyAlignment="1">
      <alignment horizontal="right" vertical="center" wrapText="1"/>
    </xf>
    <xf numFmtId="165" fontId="2" fillId="7" borderId="18" xfId="3" applyNumberFormat="1" applyFont="1" applyFill="1" applyBorder="1" applyAlignment="1">
      <alignment horizontal="right" vertical="center" wrapText="1"/>
    </xf>
    <xf numFmtId="165" fontId="33" fillId="7" borderId="18" xfId="3" applyNumberFormat="1" applyFont="1" applyFill="1" applyBorder="1" applyAlignment="1">
      <alignment horizontal="right" vertical="center" wrapText="1"/>
    </xf>
    <xf numFmtId="168" fontId="55" fillId="2" borderId="17" xfId="0" applyNumberFormat="1" applyFont="1" applyFill="1" applyBorder="1" applyAlignment="1">
      <alignment horizontal="center" vertical="center" wrapText="1"/>
    </xf>
    <xf numFmtId="4" fontId="61" fillId="0" borderId="21" xfId="0" applyNumberFormat="1" applyFont="1" applyBorder="1" applyAlignment="1">
      <alignment horizontal="center" vertical="center" wrapText="1"/>
    </xf>
    <xf numFmtId="0" fontId="9" fillId="0" borderId="70" xfId="0" applyFont="1" applyBorder="1" applyAlignment="1">
      <alignment vertical="center" wrapText="1"/>
    </xf>
    <xf numFmtId="0" fontId="9" fillId="0" borderId="61" xfId="0" applyFont="1" applyBorder="1" applyAlignment="1">
      <alignment vertical="center" wrapText="1"/>
    </xf>
    <xf numFmtId="4" fontId="61" fillId="0" borderId="70" xfId="0" applyNumberFormat="1" applyFont="1" applyBorder="1" applyAlignment="1">
      <alignment horizontal="center" vertical="center" wrapText="1"/>
    </xf>
    <xf numFmtId="167" fontId="2" fillId="0" borderId="44" xfId="0" applyNumberFormat="1" applyFont="1" applyBorder="1" applyAlignment="1">
      <alignment horizontal="center" vertical="center" wrapText="1"/>
    </xf>
    <xf numFmtId="167" fontId="29" fillId="0" borderId="55" xfId="0" applyNumberFormat="1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3" fontId="2" fillId="0" borderId="13" xfId="0" applyNumberFormat="1" applyFont="1" applyBorder="1" applyAlignment="1">
      <alignment horizontal="center" vertical="center" wrapText="1"/>
    </xf>
    <xf numFmtId="167" fontId="2" fillId="0" borderId="14" xfId="0" applyNumberFormat="1" applyFont="1" applyBorder="1" applyAlignment="1">
      <alignment vertical="center" wrapText="1"/>
    </xf>
    <xf numFmtId="167" fontId="67" fillId="0" borderId="20" xfId="0" applyNumberFormat="1" applyFont="1" applyBorder="1" applyAlignment="1">
      <alignment vertical="center" wrapText="1"/>
    </xf>
    <xf numFmtId="3" fontId="2" fillId="0" borderId="31" xfId="0" applyNumberFormat="1" applyFont="1" applyBorder="1" applyAlignment="1">
      <alignment horizontal="center" vertical="center" wrapText="1"/>
    </xf>
    <xf numFmtId="167" fontId="2" fillId="0" borderId="46" xfId="0" applyNumberFormat="1" applyFont="1" applyBorder="1" applyAlignment="1">
      <alignment horizontal="center" vertical="center" wrapText="1"/>
    </xf>
    <xf numFmtId="167" fontId="29" fillId="0" borderId="16" xfId="0" applyNumberFormat="1" applyFont="1" applyBorder="1" applyAlignment="1">
      <alignment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38" fillId="2" borderId="65" xfId="0" applyFont="1" applyFill="1" applyBorder="1" applyAlignment="1">
      <alignment horizontal="center" vertical="center" wrapText="1"/>
    </xf>
    <xf numFmtId="166" fontId="9" fillId="2" borderId="0" xfId="0" applyNumberFormat="1" applyFont="1" applyFill="1" applyAlignment="1">
      <alignment horizontal="center"/>
    </xf>
    <xf numFmtId="4" fontId="67" fillId="0" borderId="35" xfId="0" applyNumberFormat="1" applyFont="1" applyBorder="1" applyAlignment="1">
      <alignment vertical="center" wrapText="1"/>
    </xf>
    <xf numFmtId="3" fontId="55" fillId="0" borderId="17" xfId="0" applyNumberFormat="1" applyFont="1" applyBorder="1" applyAlignment="1">
      <alignment horizontal="left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left"/>
    </xf>
    <xf numFmtId="167" fontId="61" fillId="0" borderId="27" xfId="0" applyNumberFormat="1" applyFont="1" applyBorder="1" applyAlignment="1">
      <alignment horizontal="center" vertical="center" wrapText="1"/>
    </xf>
    <xf numFmtId="167" fontId="67" fillId="0" borderId="51" xfId="0" applyNumberFormat="1" applyFont="1" applyBorder="1" applyAlignment="1">
      <alignment horizontal="center" vertical="center" wrapText="1"/>
    </xf>
    <xf numFmtId="0" fontId="26" fillId="3" borderId="40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65" fontId="2" fillId="7" borderId="17" xfId="3" applyNumberFormat="1" applyFont="1" applyFill="1" applyBorder="1" applyAlignment="1">
      <alignment horizontal="right" vertical="center" wrapText="1"/>
    </xf>
    <xf numFmtId="0" fontId="2" fillId="7" borderId="29" xfId="0" applyFont="1" applyFill="1" applyBorder="1" applyAlignment="1">
      <alignment horizontal="center" vertical="center" wrapText="1"/>
    </xf>
    <xf numFmtId="167" fontId="2" fillId="0" borderId="47" xfId="0" applyNumberFormat="1" applyFont="1" applyBorder="1" applyAlignment="1">
      <alignment horizontal="center" vertical="center" wrapText="1"/>
    </xf>
    <xf numFmtId="3" fontId="2" fillId="0" borderId="56" xfId="0" applyNumberFormat="1" applyFont="1" applyBorder="1" applyAlignment="1">
      <alignment horizontal="center" vertical="center" wrapText="1"/>
    </xf>
    <xf numFmtId="3" fontId="2" fillId="0" borderId="28" xfId="0" applyNumberFormat="1" applyFont="1" applyBorder="1" applyAlignment="1">
      <alignment horizontal="center" vertical="center" wrapText="1"/>
    </xf>
    <xf numFmtId="165" fontId="37" fillId="9" borderId="25" xfId="3" applyNumberFormat="1" applyFont="1" applyFill="1" applyBorder="1" applyAlignment="1">
      <alignment horizontal="right" vertical="center" wrapText="1"/>
    </xf>
    <xf numFmtId="165" fontId="32" fillId="9" borderId="24" xfId="3" applyNumberFormat="1" applyFont="1" applyFill="1" applyBorder="1" applyAlignment="1">
      <alignment horizontal="right" vertical="center" wrapText="1"/>
    </xf>
    <xf numFmtId="167" fontId="10" fillId="2" borderId="19" xfId="0" applyNumberFormat="1" applyFont="1" applyFill="1" applyBorder="1" applyAlignment="1">
      <alignment horizontal="right" vertical="center" wrapText="1"/>
    </xf>
    <xf numFmtId="165" fontId="33" fillId="0" borderId="14" xfId="3" applyNumberFormat="1" applyFont="1" applyFill="1" applyBorder="1" applyAlignment="1">
      <alignment horizontal="right" vertical="center" wrapText="1"/>
    </xf>
    <xf numFmtId="165" fontId="33" fillId="0" borderId="25" xfId="3" applyNumberFormat="1" applyFont="1" applyFill="1" applyBorder="1" applyAlignment="1">
      <alignment horizontal="right" vertical="center" wrapText="1"/>
    </xf>
    <xf numFmtId="165" fontId="33" fillId="7" borderId="38" xfId="3" applyNumberFormat="1" applyFont="1" applyFill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left" vertical="top" wrapText="1"/>
    </xf>
    <xf numFmtId="0" fontId="11" fillId="0" borderId="5" xfId="0" applyFont="1" applyBorder="1" applyAlignment="1">
      <alignment vertical="center" wrapText="1"/>
    </xf>
    <xf numFmtId="165" fontId="12" fillId="0" borderId="5" xfId="3" applyNumberFormat="1" applyFont="1" applyFill="1" applyBorder="1" applyAlignment="1">
      <alignment horizontal="center" vertical="center" wrapText="1"/>
    </xf>
    <xf numFmtId="167" fontId="12" fillId="0" borderId="5" xfId="3" applyNumberFormat="1" applyFont="1" applyFill="1" applyBorder="1" applyAlignment="1">
      <alignment horizontal="center" vertical="center" wrapText="1"/>
    </xf>
    <xf numFmtId="167" fontId="11" fillId="0" borderId="5" xfId="0" applyNumberFormat="1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5" fillId="2" borderId="2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9" fillId="0" borderId="71" xfId="0" applyFont="1" applyBorder="1" applyAlignment="1">
      <alignment vertical="center" wrapText="1"/>
    </xf>
    <xf numFmtId="167" fontId="2" fillId="0" borderId="15" xfId="0" applyNumberFormat="1" applyFont="1" applyBorder="1" applyAlignment="1">
      <alignment horizontal="center" vertical="center" wrapText="1"/>
    </xf>
    <xf numFmtId="4" fontId="9" fillId="0" borderId="11" xfId="0" applyNumberFormat="1" applyFont="1" applyBorder="1" applyAlignment="1">
      <alignment vertical="center" wrapText="1"/>
    </xf>
    <xf numFmtId="167" fontId="9" fillId="0" borderId="14" xfId="0" applyNumberFormat="1" applyFont="1" applyBorder="1" applyAlignment="1">
      <alignment vertical="center" wrapText="1"/>
    </xf>
    <xf numFmtId="167" fontId="10" fillId="2" borderId="52" xfId="0" applyNumberFormat="1" applyFont="1" applyFill="1" applyBorder="1" applyAlignment="1">
      <alignment horizontal="center" vertical="center" wrapText="1"/>
    </xf>
    <xf numFmtId="168" fontId="55" fillId="2" borderId="11" xfId="0" applyNumberFormat="1" applyFont="1" applyFill="1" applyBorder="1" applyAlignment="1">
      <alignment horizontal="center" vertical="center" wrapText="1"/>
    </xf>
    <xf numFmtId="3" fontId="55" fillId="0" borderId="13" xfId="0" applyNumberFormat="1" applyFont="1" applyBorder="1" applyAlignment="1">
      <alignment horizontal="left" vertical="center" wrapText="1"/>
    </xf>
    <xf numFmtId="0" fontId="55" fillId="2" borderId="14" xfId="0" applyFont="1" applyFill="1" applyBorder="1" applyAlignment="1">
      <alignment horizontal="center" vertical="center" wrapText="1"/>
    </xf>
    <xf numFmtId="167" fontId="55" fillId="2" borderId="52" xfId="0" applyNumberFormat="1" applyFont="1" applyFill="1" applyBorder="1" applyAlignment="1">
      <alignment horizontal="right" vertical="center" wrapText="1"/>
    </xf>
    <xf numFmtId="166" fontId="55" fillId="0" borderId="11" xfId="3" applyNumberFormat="1" applyFont="1" applyFill="1" applyBorder="1" applyAlignment="1">
      <alignment horizontal="right" vertical="center" wrapText="1"/>
    </xf>
    <xf numFmtId="165" fontId="55" fillId="0" borderId="13" xfId="3" applyNumberFormat="1" applyFont="1" applyFill="1" applyBorder="1" applyAlignment="1">
      <alignment horizontal="right" vertical="center" wrapText="1"/>
    </xf>
    <xf numFmtId="166" fontId="55" fillId="0" borderId="52" xfId="3" applyNumberFormat="1" applyFont="1" applyFill="1" applyBorder="1" applyAlignment="1">
      <alignment horizontal="right" vertical="center" wrapText="1"/>
    </xf>
    <xf numFmtId="166" fontId="55" fillId="0" borderId="23" xfId="3" applyNumberFormat="1" applyFont="1" applyFill="1" applyBorder="1" applyAlignment="1">
      <alignment horizontal="right" vertical="center" wrapText="1"/>
    </xf>
    <xf numFmtId="166" fontId="2" fillId="10" borderId="23" xfId="3" applyNumberFormat="1" applyFont="1" applyFill="1" applyBorder="1" applyAlignment="1">
      <alignment horizontal="right" vertical="center" wrapText="1"/>
    </xf>
    <xf numFmtId="166" fontId="55" fillId="0" borderId="48" xfId="3" applyNumberFormat="1" applyFont="1" applyFill="1" applyBorder="1" applyAlignment="1">
      <alignment horizontal="right" vertical="center" wrapText="1"/>
    </xf>
    <xf numFmtId="166" fontId="9" fillId="9" borderId="26" xfId="3" applyNumberFormat="1" applyFont="1" applyFill="1" applyBorder="1" applyAlignment="1">
      <alignment horizontal="right" vertical="center" wrapText="1"/>
    </xf>
    <xf numFmtId="0" fontId="38" fillId="2" borderId="51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67" fontId="2" fillId="0" borderId="25" xfId="0" applyNumberFormat="1" applyFont="1" applyBorder="1" applyAlignment="1">
      <alignment horizontal="center" vertical="center" wrapText="1"/>
    </xf>
    <xf numFmtId="167" fontId="2" fillId="0" borderId="0" xfId="0" applyNumberFormat="1" applyFont="1" applyBorder="1" applyAlignment="1">
      <alignment horizontal="center" vertical="center" wrapText="1"/>
    </xf>
    <xf numFmtId="167" fontId="9" fillId="0" borderId="16" xfId="0" applyNumberFormat="1" applyFont="1" applyBorder="1" applyAlignment="1">
      <alignment vertical="center" wrapText="1"/>
    </xf>
    <xf numFmtId="167" fontId="9" fillId="0" borderId="0" xfId="0" applyNumberFormat="1" applyFont="1" applyBorder="1" applyAlignment="1">
      <alignment vertical="center" wrapText="1"/>
    </xf>
    <xf numFmtId="167" fontId="9" fillId="0" borderId="46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167" fontId="9" fillId="0" borderId="16" xfId="0" applyNumberFormat="1" applyFont="1" applyBorder="1" applyAlignment="1">
      <alignment horizontal="center"/>
    </xf>
    <xf numFmtId="167" fontId="9" fillId="0" borderId="46" xfId="0" applyNumberFormat="1" applyFont="1" applyBorder="1" applyAlignment="1">
      <alignment horizontal="center"/>
    </xf>
    <xf numFmtId="167" fontId="9" fillId="0" borderId="40" xfId="0" applyNumberFormat="1" applyFont="1" applyBorder="1" applyAlignment="1">
      <alignment horizontal="center"/>
    </xf>
    <xf numFmtId="167" fontId="9" fillId="0" borderId="49" xfId="0" applyNumberFormat="1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38" fillId="2" borderId="65" xfId="0" applyFont="1" applyFill="1" applyBorder="1" applyAlignment="1">
      <alignment horizontal="center" vertical="center" wrapText="1"/>
    </xf>
    <xf numFmtId="0" fontId="38" fillId="2" borderId="41" xfId="0" applyFont="1" applyFill="1" applyBorder="1" applyAlignment="1">
      <alignment horizontal="center" vertical="center" wrapText="1"/>
    </xf>
    <xf numFmtId="3" fontId="38" fillId="0" borderId="32" xfId="0" applyNumberFormat="1" applyFont="1" applyBorder="1" applyAlignment="1">
      <alignment horizontal="center" vertical="center" wrapText="1"/>
    </xf>
    <xf numFmtId="3" fontId="38" fillId="0" borderId="24" xfId="0" applyNumberFormat="1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165" fontId="38" fillId="7" borderId="28" xfId="3" applyNumberFormat="1" applyFont="1" applyFill="1" applyBorder="1" applyAlignment="1">
      <alignment horizontal="center" vertical="center" wrapText="1"/>
    </xf>
    <xf numFmtId="165" fontId="38" fillId="7" borderId="55" xfId="3" applyNumberFormat="1" applyFont="1" applyFill="1" applyBorder="1" applyAlignment="1">
      <alignment horizontal="center" vertical="center" wrapText="1"/>
    </xf>
    <xf numFmtId="3" fontId="2" fillId="0" borderId="51" xfId="0" applyNumberFormat="1" applyFont="1" applyBorder="1" applyAlignment="1">
      <alignment horizontal="center" vertical="center" wrapText="1"/>
    </xf>
    <xf numFmtId="3" fontId="2" fillId="0" borderId="41" xfId="0" applyNumberFormat="1" applyFont="1" applyBorder="1" applyAlignment="1">
      <alignment horizontal="center" vertical="center" wrapText="1"/>
    </xf>
    <xf numFmtId="0" fontId="38" fillId="2" borderId="42" xfId="0" applyFont="1" applyFill="1" applyBorder="1" applyAlignment="1">
      <alignment horizontal="center" vertical="center" wrapText="1"/>
    </xf>
    <xf numFmtId="0" fontId="38" fillId="2" borderId="32" xfId="0" applyFont="1" applyFill="1" applyBorder="1" applyAlignment="1">
      <alignment horizontal="center" vertical="center" wrapText="1"/>
    </xf>
    <xf numFmtId="0" fontId="38" fillId="2" borderId="36" xfId="0" applyFont="1" applyFill="1" applyBorder="1" applyAlignment="1">
      <alignment horizontal="center" vertical="center" wrapText="1"/>
    </xf>
    <xf numFmtId="0" fontId="38" fillId="2" borderId="24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38" fillId="2" borderId="51" xfId="0" applyFont="1" applyFill="1" applyBorder="1" applyAlignment="1">
      <alignment horizontal="center" vertical="center" wrapText="1"/>
    </xf>
    <xf numFmtId="0" fontId="38" fillId="2" borderId="55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" borderId="28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left" vertical="center" wrapText="1"/>
    </xf>
    <xf numFmtId="3" fontId="9" fillId="0" borderId="28" xfId="0" applyNumberFormat="1" applyFont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left" vertical="center" wrapText="1"/>
    </xf>
    <xf numFmtId="3" fontId="9" fillId="0" borderId="41" xfId="0" applyNumberFormat="1" applyFont="1" applyBorder="1" applyAlignment="1">
      <alignment horizontal="left" vertical="center" wrapText="1"/>
    </xf>
    <xf numFmtId="0" fontId="2" fillId="2" borderId="41" xfId="0" applyFont="1" applyFill="1" applyBorder="1" applyAlignment="1">
      <alignment horizontal="center" vertical="center" wrapText="1"/>
    </xf>
    <xf numFmtId="49" fontId="68" fillId="3" borderId="3" xfId="0" applyNumberFormat="1" applyFont="1" applyFill="1" applyBorder="1" applyAlignment="1">
      <alignment horizontal="center" vertical="center" wrapText="1"/>
    </xf>
    <xf numFmtId="49" fontId="68" fillId="3" borderId="4" xfId="0" applyNumberFormat="1" applyFont="1" applyFill="1" applyBorder="1" applyAlignment="1">
      <alignment horizontal="center" vertical="center" wrapText="1"/>
    </xf>
    <xf numFmtId="49" fontId="68" fillId="3" borderId="6" xfId="0" applyNumberFormat="1" applyFont="1" applyFill="1" applyBorder="1" applyAlignment="1">
      <alignment horizontal="center" vertical="center" wrapText="1"/>
    </xf>
    <xf numFmtId="167" fontId="2" fillId="0" borderId="50" xfId="0" applyNumberFormat="1" applyFont="1" applyBorder="1" applyAlignment="1">
      <alignment horizontal="center" vertical="center" wrapText="1"/>
    </xf>
    <xf numFmtId="167" fontId="2" fillId="0" borderId="33" xfId="0" applyNumberFormat="1" applyFont="1" applyBorder="1" applyAlignment="1">
      <alignment horizontal="center" vertical="center" wrapText="1"/>
    </xf>
    <xf numFmtId="167" fontId="2" fillId="0" borderId="25" xfId="0" applyNumberFormat="1" applyFont="1" applyBorder="1" applyAlignment="1">
      <alignment horizontal="center" vertical="center" wrapText="1"/>
    </xf>
    <xf numFmtId="3" fontId="2" fillId="0" borderId="28" xfId="0" applyNumberFormat="1" applyFont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3" fontId="2" fillId="0" borderId="55" xfId="0" applyNumberFormat="1" applyFont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2" fontId="38" fillId="2" borderId="65" xfId="0" applyNumberFormat="1" applyFont="1" applyFill="1" applyBorder="1" applyAlignment="1">
      <alignment horizontal="center" vertical="center" wrapText="1"/>
    </xf>
    <xf numFmtId="2" fontId="38" fillId="2" borderId="28" xfId="0" applyNumberFormat="1" applyFont="1" applyFill="1" applyBorder="1" applyAlignment="1">
      <alignment horizontal="center" vertical="center" wrapText="1"/>
    </xf>
    <xf numFmtId="2" fontId="38" fillId="2" borderId="41" xfId="0" applyNumberFormat="1" applyFont="1" applyFill="1" applyBorder="1" applyAlignment="1">
      <alignment horizontal="center" vertical="center" wrapText="1"/>
    </xf>
    <xf numFmtId="3" fontId="2" fillId="0" borderId="29" xfId="0" applyNumberFormat="1" applyFont="1" applyBorder="1" applyAlignment="1">
      <alignment horizontal="center" vertical="center" wrapText="1"/>
    </xf>
    <xf numFmtId="3" fontId="2" fillId="0" borderId="36" xfId="0" applyNumberFormat="1" applyFont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166" fontId="9" fillId="7" borderId="26" xfId="3" applyNumberFormat="1" applyFont="1" applyFill="1" applyBorder="1" applyAlignment="1">
      <alignment horizontal="right" vertical="center" wrapText="1"/>
    </xf>
  </cellXfs>
  <cellStyles count="5">
    <cellStyle name="Обычный" xfId="0" builtinId="0"/>
    <cellStyle name="Обычный 2" xfId="1"/>
    <cellStyle name="Обычный 3" xfId="2"/>
    <cellStyle name="Обычный_апрель" xfId="4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CE0FB0EC-A592-4088-97F9-A8A45BAB55B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8EABA9F7-5908-47AF-A117-79F5025D05B9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A3135713-58BE-412A-90EC-66E74D3AAA4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1D6397DA-8FAD-42F6-BD02-CD8DFFB6C1B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B7D541B3-67DC-442B-861E-0809A23F899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05F67677-AADF-4906-88E3-00B6A3D60C25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E3350537-A15E-4308-A8FC-631E9E36567C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B24FEA98-C483-45D5-9AA6-F70A33BB4ED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AC779F0D-1913-461E-9B32-F43F92EAFCB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D25AE255-4B91-4DC6-9E42-511059810DFE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9C1A58FB-0336-450A-938D-5CA395445EC5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55F9E422-8FCD-4423-B43E-A907CD4E349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B89913F6-0A36-44F0-B100-4DB02887947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7EC450F5-DB48-4EDD-8374-5890DAFFB7E0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F576A894-69B0-4F4B-B8FB-42144C73360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0395D268-4A58-41C8-B51E-FA328D3E3A0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64A4A93A-E1DA-4AF0-8547-695530743A6D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DE4A6EF1-BCEB-412C-8390-A3E6F8088158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64B8F312-87E7-41D3-A50A-075C7CB2C861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D7C0C947-F5EC-43D9-9D9D-D12A687F0CAD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F3F433F9-9057-40A7-9946-FA1F4B941D36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2283E313-04A9-4EB7-BF49-7D1757897F8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D759885E-BF77-4FD1-8119-381527E1A0D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99C9986E-ACA2-4C67-8053-E95FA77CEE1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5ACDF6E6-BE45-4BBE-AAD0-B70BB7ACDD44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05EE1F6B-A927-4D78-9074-C9B855CA8F71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72D7DCE0-F093-4604-B86B-D60549820DA5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3C3D8A24-037B-4E2F-A528-BC7226C0E32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B85F79A2-5BCC-44B2-BF95-D539865CE54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7A538ED9-BEA3-4313-8463-1AD3DC265075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DE0F0BD9-04DD-4FCC-981A-E57C5674163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FD50EF3B-6E39-4669-8639-F54FD7B909E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AADEACD9-77B8-40DF-AD41-9E573E49065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CB2615AA-4B20-41A8-B553-D2F7A38FD955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8B9D8FD8-F315-42C5-99D6-6C6A92E58DF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8314A974-D993-4F2C-8BE7-DCD80F59BFF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791200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5AEFF46C-7F22-4F11-98A9-998699A9D02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985EF927-A54C-426C-BF57-CAFE4EDE5CD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7F911293-9BB2-4342-B789-4CF428D0BCC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20FED989-5C12-47EA-9E53-037E092ECD36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A7054045-93DF-4E2C-9A66-D51DADCD8E1E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9F72DB87-E2C2-4F76-AD50-9EA90F000F5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0B3AC58A-1BF4-4E7A-9670-9FBC039DC9FC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8D4EDEBC-8651-42D0-8427-EBDFBB05762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27AE8C05-0667-4AFF-88FF-BDE19C6606B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FF213372-DD3F-439D-8660-7EBEB6C53B8D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98CDB025-79CB-49FC-A925-AF217BE9732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22FF8C56-51D5-4005-9CC9-DE9CACEA00B4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6268DC03-1A39-478E-99F3-0AA0E32B34B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6B4F46C9-4A1D-4C06-834B-932A4D442BA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1E1DFF73-AAFE-4F61-9B23-E80B7ED84DA6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2EF00F24-38BF-4DDF-A18F-04D074F91D88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864227B6-CA3F-439D-ABC4-E276FE44566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72003EBB-6ADC-4A43-926E-A0FE9DA75D0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AC1BE025-1AC8-4286-957A-2A4E653F58F1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9F8002EC-0866-4934-9701-A885026977A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3567E21B-979D-4A84-A2B0-A2D52763651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55F9E99F-5B3A-4641-81EC-7424DF678E0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FEDA3CF0-6724-41BB-AE14-9874979AA502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EF356396-9C9A-4954-983C-5F8F862435A9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B9345B06-0864-40A7-8E92-8C53A174E14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BFDDFE56-44CE-4708-9FAE-048B9146D2B6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767F1C1C-F3A1-416A-8548-E63A53C35514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5" name="WordArt 4">
          <a:extLst>
            <a:ext uri="{FF2B5EF4-FFF2-40B4-BE49-F238E27FC236}">
              <a16:creationId xmlns:a16="http://schemas.microsoft.com/office/drawing/2014/main" id="{1B0F14FA-D61F-4350-81C9-F45190123E69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E4B898BB-7641-4204-B689-B731006EA04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6A386714-4867-48F5-B02F-5AC7DB2F9EE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8" name="WordArt 4">
          <a:extLst>
            <a:ext uri="{FF2B5EF4-FFF2-40B4-BE49-F238E27FC236}">
              <a16:creationId xmlns:a16="http://schemas.microsoft.com/office/drawing/2014/main" id="{2A0BCAF0-8329-4C08-A329-BBA1026E6713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9" name="WordArt 4">
          <a:extLst>
            <a:ext uri="{FF2B5EF4-FFF2-40B4-BE49-F238E27FC236}">
              <a16:creationId xmlns:a16="http://schemas.microsoft.com/office/drawing/2014/main" id="{85F59344-FC7B-40BB-B09E-B3303C6F435A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0" name="WordArt 4">
          <a:extLst>
            <a:ext uri="{FF2B5EF4-FFF2-40B4-BE49-F238E27FC236}">
              <a16:creationId xmlns:a16="http://schemas.microsoft.com/office/drawing/2014/main" id="{991BF528-1E9F-447C-80AB-151689F10A5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1" name="WordArt 4">
          <a:extLst>
            <a:ext uri="{FF2B5EF4-FFF2-40B4-BE49-F238E27FC236}">
              <a16:creationId xmlns:a16="http://schemas.microsoft.com/office/drawing/2014/main" id="{5CA0D104-AE62-4F1C-AF3E-EF523A8EC917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2" name="WordArt 4">
          <a:extLst>
            <a:ext uri="{FF2B5EF4-FFF2-40B4-BE49-F238E27FC236}">
              <a16:creationId xmlns:a16="http://schemas.microsoft.com/office/drawing/2014/main" id="{4C953526-2FFF-4713-A017-72480056D34B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123825</xdr:colOff>
      <xdr:row>11</xdr:row>
      <xdr:rowOff>0</xdr:rowOff>
    </xdr:from>
    <xdr:to>
      <xdr:col>9</xdr:col>
      <xdr:colOff>1762125</xdr:colOff>
      <xdr:row>11</xdr:row>
      <xdr:rowOff>0</xdr:rowOff>
    </xdr:to>
    <xdr:sp macro="" textlink="">
      <xdr:nvSpPr>
        <xdr:cNvPr id="13" name="WordArt 4">
          <a:extLst>
            <a:ext uri="{FF2B5EF4-FFF2-40B4-BE49-F238E27FC236}">
              <a16:creationId xmlns:a16="http://schemas.microsoft.com/office/drawing/2014/main" id="{2676D848-1C1A-45A3-ABE2-08C6AF8ADFBF}"/>
            </a:ext>
          </a:extLst>
        </xdr:cNvPr>
        <xdr:cNvSpPr>
          <a:spLocks noChangeArrowheads="1" noChangeShapeType="1"/>
        </xdr:cNvSpPr>
      </xdr:nvSpPr>
      <xdr:spPr bwMode="auto">
        <a:xfrm rot="-1207256">
          <a:off x="5857875" y="27146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395"/>
  <sheetViews>
    <sheetView view="pageBreakPreview" topLeftCell="A4" zoomScaleNormal="80" zoomScaleSheetLayoutView="100" workbookViewId="0">
      <pane xSplit="2" ySplit="7" topLeftCell="C287" activePane="bottomRight" state="frozen"/>
      <selection activeCell="A4" sqref="A4"/>
      <selection pane="topRight" activeCell="C4" sqref="C4"/>
      <selection pane="bottomLeft" activeCell="A13" sqref="A13"/>
      <selection pane="bottomRight" activeCell="J214" sqref="J214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3" customWidth="1"/>
    <col min="4" max="4" width="12.44140625" style="4" customWidth="1"/>
    <col min="5" max="5" width="14.109375" style="4" customWidth="1"/>
    <col min="6" max="6" width="13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9" ht="13.2" x14ac:dyDescent="0.25">
      <c r="M1" s="9"/>
      <c r="N1" s="9"/>
      <c r="P1" s="9"/>
    </row>
    <row r="2" spans="1:19" ht="13.2" x14ac:dyDescent="0.25">
      <c r="M2" s="9"/>
      <c r="N2" s="9"/>
      <c r="P2" s="9"/>
    </row>
    <row r="3" spans="1:19" ht="13.2" x14ac:dyDescent="0.25">
      <c r="M3" s="9"/>
      <c r="N3" s="9"/>
      <c r="P3" s="9"/>
    </row>
    <row r="4" spans="1:19" s="17" customFormat="1" ht="29.25" customHeight="1" x14ac:dyDescent="0.4">
      <c r="A4" s="11"/>
      <c r="B4" s="11"/>
      <c r="C4" s="12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9" s="24" customFormat="1" ht="20.25" customHeight="1" x14ac:dyDescent="0.35">
      <c r="A5" s="18"/>
      <c r="B5" s="18"/>
      <c r="C5" s="19"/>
      <c r="D5" s="20"/>
      <c r="E5" s="412"/>
      <c r="F5" s="21"/>
      <c r="G5" s="21"/>
      <c r="H5" s="22"/>
      <c r="I5" s="23" t="s">
        <v>593</v>
      </c>
      <c r="J5" s="23"/>
      <c r="K5" s="23"/>
      <c r="L5" s="22"/>
      <c r="M5" s="23"/>
      <c r="N5" s="23"/>
      <c r="O5" s="22"/>
      <c r="P5" s="23"/>
    </row>
    <row r="6" spans="1:19" s="9" customFormat="1" ht="12" customHeight="1" x14ac:dyDescent="0.25">
      <c r="A6" s="8"/>
      <c r="B6" s="8"/>
      <c r="C6" s="358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9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9" s="9" customFormat="1" ht="15" x14ac:dyDescent="0.25">
      <c r="A8" s="775" t="s">
        <v>13</v>
      </c>
      <c r="B8" s="775"/>
      <c r="C8" s="775"/>
      <c r="D8" s="776"/>
      <c r="E8" s="779" t="s">
        <v>48</v>
      </c>
      <c r="F8" s="782" t="s">
        <v>41</v>
      </c>
      <c r="G8" s="783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9" s="9" customFormat="1" ht="15.75" customHeight="1" x14ac:dyDescent="0.25">
      <c r="A9" s="777"/>
      <c r="B9" s="777"/>
      <c r="C9" s="777"/>
      <c r="D9" s="778"/>
      <c r="E9" s="780"/>
      <c r="F9" s="784"/>
      <c r="G9" s="785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9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30"/>
      <c r="I10" s="31" t="s">
        <v>9</v>
      </c>
      <c r="J10" s="32" t="s">
        <v>0</v>
      </c>
      <c r="K10" s="32" t="s">
        <v>349</v>
      </c>
      <c r="L10" s="355"/>
      <c r="M10" s="33" t="s">
        <v>15</v>
      </c>
      <c r="N10" s="33" t="s">
        <v>15</v>
      </c>
      <c r="O10" s="30"/>
      <c r="P10" s="33" t="s">
        <v>15</v>
      </c>
      <c r="S10" s="34" t="s">
        <v>134</v>
      </c>
    </row>
    <row r="11" spans="1:19" s="40" customFormat="1" ht="30" customHeight="1" x14ac:dyDescent="0.3">
      <c r="A11" s="35" t="s">
        <v>6</v>
      </c>
      <c r="B11" s="36"/>
      <c r="C11" s="37"/>
      <c r="D11" s="38"/>
      <c r="E11" s="38"/>
      <c r="F11" s="39"/>
      <c r="G11" s="39"/>
      <c r="H11" s="155"/>
      <c r="J11" s="156"/>
      <c r="K11" s="157"/>
      <c r="L11" s="155"/>
      <c r="M11" s="158"/>
      <c r="N11" s="158"/>
      <c r="O11" s="155"/>
      <c r="P11" s="158"/>
    </row>
    <row r="12" spans="1:19" s="56" customFormat="1" ht="15" x14ac:dyDescent="0.25">
      <c r="A12" s="361"/>
      <c r="B12" s="334" t="s">
        <v>44</v>
      </c>
      <c r="C12" s="43"/>
      <c r="D12" s="44"/>
      <c r="E12" s="45"/>
      <c r="F12" s="569">
        <f>SUM(F13:F22)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9" s="9" customFormat="1" ht="27.9" customHeight="1" x14ac:dyDescent="0.25">
      <c r="A13" s="78"/>
      <c r="B13" s="79"/>
      <c r="C13" s="391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9">
        <v>1</v>
      </c>
      <c r="N13" s="77"/>
      <c r="O13" s="357"/>
      <c r="P13" s="434">
        <f t="shared" ref="P13" si="0">M13-N13</f>
        <v>1</v>
      </c>
    </row>
    <row r="14" spans="1:19" s="9" customFormat="1" ht="27.9" customHeight="1" x14ac:dyDescent="0.25">
      <c r="A14" s="78"/>
      <c r="B14" s="79"/>
      <c r="C14" s="391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410">
        <f t="shared" ref="M14:M21" si="1">K14</f>
        <v>1</v>
      </c>
      <c r="N14" s="376"/>
      <c r="O14" s="332"/>
      <c r="P14" s="435">
        <f t="shared" ref="P14:P20" si="2">K14-N14</f>
        <v>1</v>
      </c>
    </row>
    <row r="15" spans="1:19" s="9" customFormat="1" ht="27.9" customHeight="1" x14ac:dyDescent="0.25">
      <c r="A15" s="78"/>
      <c r="B15" s="79"/>
      <c r="C15" s="391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410">
        <f t="shared" si="1"/>
        <v>1</v>
      </c>
      <c r="N15" s="376"/>
      <c r="O15" s="332"/>
      <c r="P15" s="435">
        <f t="shared" si="2"/>
        <v>1</v>
      </c>
    </row>
    <row r="16" spans="1:19" s="9" customFormat="1" ht="37.5" customHeight="1" x14ac:dyDescent="0.25">
      <c r="A16" s="78"/>
      <c r="B16" s="79"/>
      <c r="C16" s="561" t="s">
        <v>426</v>
      </c>
      <c r="D16" s="351"/>
      <c r="E16" s="341" t="s">
        <v>50</v>
      </c>
      <c r="F16" s="566"/>
      <c r="G16" s="83">
        <v>45189</v>
      </c>
      <c r="H16" s="429"/>
      <c r="I16" s="468" t="s">
        <v>427</v>
      </c>
      <c r="J16" s="335" t="s">
        <v>320</v>
      </c>
      <c r="K16" s="431">
        <v>2</v>
      </c>
      <c r="L16" s="430"/>
      <c r="M16" s="410">
        <v>1</v>
      </c>
      <c r="N16" s="528">
        <v>1</v>
      </c>
      <c r="O16" s="332"/>
      <c r="P16" s="435">
        <f>M16-N16</f>
        <v>0</v>
      </c>
    </row>
    <row r="17" spans="1:17" s="9" customFormat="1" ht="37.5" customHeight="1" x14ac:dyDescent="0.25">
      <c r="A17" s="78"/>
      <c r="B17" s="79"/>
      <c r="C17" s="561"/>
      <c r="D17" s="351"/>
      <c r="E17" s="341" t="s">
        <v>634</v>
      </c>
      <c r="F17" s="566"/>
      <c r="G17" s="83">
        <v>45266</v>
      </c>
      <c r="H17" s="429"/>
      <c r="I17" s="468" t="s">
        <v>633</v>
      </c>
      <c r="J17" s="335" t="s">
        <v>320</v>
      </c>
      <c r="K17" s="431">
        <v>3</v>
      </c>
      <c r="L17" s="430"/>
      <c r="M17" s="410">
        <f>K17</f>
        <v>3</v>
      </c>
      <c r="N17" s="528"/>
      <c r="O17" s="332"/>
      <c r="P17" s="435">
        <f>M17-N17</f>
        <v>3</v>
      </c>
    </row>
    <row r="18" spans="1:17" s="9" customFormat="1" ht="32.25" customHeight="1" x14ac:dyDescent="0.25">
      <c r="A18" s="78"/>
      <c r="B18" s="79"/>
      <c r="C18" s="578"/>
      <c r="D18" s="351"/>
      <c r="E18" s="341" t="s">
        <v>634</v>
      </c>
      <c r="F18" s="567"/>
      <c r="G18" s="83">
        <v>45266</v>
      </c>
      <c r="H18" s="429"/>
      <c r="I18" s="468" t="s">
        <v>643</v>
      </c>
      <c r="J18" s="335" t="s">
        <v>644</v>
      </c>
      <c r="K18" s="431">
        <v>3</v>
      </c>
      <c r="L18" s="430"/>
      <c r="M18" s="410">
        <f>K18</f>
        <v>3</v>
      </c>
      <c r="N18" s="528"/>
      <c r="O18" s="332"/>
      <c r="P18" s="435">
        <f>M18-N18</f>
        <v>3</v>
      </c>
    </row>
    <row r="19" spans="1:17" s="9" customFormat="1" ht="37.5" customHeight="1" x14ac:dyDescent="0.25">
      <c r="A19" s="78"/>
      <c r="B19" s="79"/>
      <c r="C19" s="578" t="s">
        <v>479</v>
      </c>
      <c r="D19" s="351">
        <v>44955</v>
      </c>
      <c r="E19" s="341" t="s">
        <v>50</v>
      </c>
      <c r="F19" s="567"/>
      <c r="G19" s="83">
        <v>45201</v>
      </c>
      <c r="H19" s="429"/>
      <c r="I19" s="468" t="s">
        <v>478</v>
      </c>
      <c r="J19" s="335" t="s">
        <v>241</v>
      </c>
      <c r="K19" s="453">
        <v>240</v>
      </c>
      <c r="L19" s="430"/>
      <c r="M19" s="410">
        <f t="shared" si="1"/>
        <v>240</v>
      </c>
      <c r="N19" s="376">
        <f>80+160</f>
        <v>240</v>
      </c>
      <c r="O19" s="332"/>
      <c r="P19" s="435">
        <f t="shared" si="2"/>
        <v>0</v>
      </c>
    </row>
    <row r="20" spans="1:17" s="9" customFormat="1" ht="37.5" customHeight="1" x14ac:dyDescent="0.25">
      <c r="A20" s="78"/>
      <c r="B20" s="79"/>
      <c r="C20" s="578"/>
      <c r="D20" s="350">
        <v>45361</v>
      </c>
      <c r="E20" s="341" t="s">
        <v>50</v>
      </c>
      <c r="F20" s="567"/>
      <c r="G20" s="83">
        <v>45259</v>
      </c>
      <c r="H20" s="429"/>
      <c r="I20" s="468" t="s">
        <v>591</v>
      </c>
      <c r="J20" s="336" t="s">
        <v>592</v>
      </c>
      <c r="K20" s="453">
        <v>2</v>
      </c>
      <c r="L20" s="430"/>
      <c r="M20" s="410">
        <f t="shared" si="1"/>
        <v>2</v>
      </c>
      <c r="N20" s="376"/>
      <c r="O20" s="332"/>
      <c r="P20" s="435">
        <f t="shared" si="2"/>
        <v>2</v>
      </c>
    </row>
    <row r="21" spans="1:17" s="9" customFormat="1" ht="36.75" customHeight="1" x14ac:dyDescent="0.25">
      <c r="A21" s="78"/>
      <c r="B21" s="79"/>
      <c r="C21" s="547"/>
      <c r="D21" s="455">
        <v>45285</v>
      </c>
      <c r="E21" s="428" t="s">
        <v>50</v>
      </c>
      <c r="F21" s="456"/>
      <c r="G21" s="83">
        <v>45272</v>
      </c>
      <c r="H21" s="457"/>
      <c r="I21" s="468" t="s">
        <v>652</v>
      </c>
      <c r="J21" s="335" t="s">
        <v>315</v>
      </c>
      <c r="K21" s="443">
        <v>12</v>
      </c>
      <c r="L21" s="458"/>
      <c r="M21" s="137">
        <f t="shared" si="1"/>
        <v>12</v>
      </c>
      <c r="N21" s="442"/>
      <c r="O21" s="438"/>
      <c r="P21" s="137">
        <f t="shared" ref="P21" si="3">M21-N21</f>
        <v>12</v>
      </c>
    </row>
    <row r="22" spans="1:17" s="9" customFormat="1" ht="39.75" customHeight="1" x14ac:dyDescent="0.25">
      <c r="A22" s="78"/>
      <c r="B22" s="379"/>
      <c r="C22" s="446"/>
      <c r="D22" s="484" t="s">
        <v>90</v>
      </c>
      <c r="E22" s="428" t="s">
        <v>50</v>
      </c>
      <c r="F22" s="568">
        <v>34885.82</v>
      </c>
      <c r="G22" s="366"/>
      <c r="H22" s="90"/>
      <c r="I22" s="468" t="s">
        <v>72</v>
      </c>
      <c r="J22" s="481" t="s">
        <v>70</v>
      </c>
      <c r="K22" s="353">
        <v>2</v>
      </c>
      <c r="L22" s="91"/>
      <c r="M22" s="137">
        <v>1</v>
      </c>
      <c r="N22" s="136"/>
      <c r="O22" s="91"/>
      <c r="P22" s="137">
        <f t="shared" ref="P22" si="4">M22-N22</f>
        <v>1</v>
      </c>
    </row>
    <row r="23" spans="1:17" s="56" customFormat="1" ht="15" x14ac:dyDescent="0.25">
      <c r="A23" s="41"/>
      <c r="B23" s="330" t="s">
        <v>88</v>
      </c>
      <c r="C23" s="368"/>
      <c r="D23" s="44"/>
      <c r="E23" s="45"/>
      <c r="F23" s="46"/>
      <c r="G23" s="47"/>
      <c r="H23" s="48"/>
      <c r="I23" s="49"/>
      <c r="J23" s="50"/>
      <c r="K23" s="51"/>
      <c r="L23" s="53"/>
      <c r="M23" s="54"/>
      <c r="N23" s="55"/>
      <c r="O23" s="53"/>
      <c r="P23" s="54"/>
    </row>
    <row r="24" spans="1:17" s="9" customFormat="1" ht="26.25" customHeight="1" x14ac:dyDescent="0.25">
      <c r="A24" s="78"/>
      <c r="B24" s="140"/>
      <c r="C24" s="788" t="s">
        <v>477</v>
      </c>
      <c r="D24" s="351">
        <v>45270</v>
      </c>
      <c r="E24" s="337" t="s">
        <v>60</v>
      </c>
      <c r="F24" s="380"/>
      <c r="G24" s="351">
        <v>45209</v>
      </c>
      <c r="H24" s="328"/>
      <c r="I24" s="338" t="s">
        <v>475</v>
      </c>
      <c r="J24" s="335" t="s">
        <v>474</v>
      </c>
      <c r="K24" s="432">
        <v>13</v>
      </c>
      <c r="L24" s="329"/>
      <c r="M24" s="410">
        <f t="shared" ref="M24:M25" si="5">K24</f>
        <v>13</v>
      </c>
      <c r="N24" s="376">
        <f>6+7</f>
        <v>13</v>
      </c>
      <c r="O24" s="332"/>
      <c r="P24" s="435">
        <f t="shared" ref="P24:P25" si="6">M24-N24</f>
        <v>0</v>
      </c>
    </row>
    <row r="25" spans="1:17" s="9" customFormat="1" ht="26.25" customHeight="1" x14ac:dyDescent="0.25">
      <c r="A25" s="78"/>
      <c r="B25" s="140"/>
      <c r="C25" s="789"/>
      <c r="D25" s="351">
        <v>45270</v>
      </c>
      <c r="E25" s="337" t="s">
        <v>60</v>
      </c>
      <c r="F25" s="380"/>
      <c r="G25" s="351">
        <v>45209</v>
      </c>
      <c r="H25" s="328"/>
      <c r="I25" s="338" t="s">
        <v>476</v>
      </c>
      <c r="J25" s="335" t="s">
        <v>576</v>
      </c>
      <c r="K25" s="432">
        <v>16</v>
      </c>
      <c r="L25" s="329"/>
      <c r="M25" s="410">
        <f t="shared" si="5"/>
        <v>16</v>
      </c>
      <c r="N25" s="376">
        <v>16</v>
      </c>
      <c r="O25" s="332"/>
      <c r="P25" s="435">
        <f t="shared" si="6"/>
        <v>0</v>
      </c>
    </row>
    <row r="26" spans="1:17" s="1" customFormat="1" ht="16.5" customHeight="1" x14ac:dyDescent="0.25">
      <c r="A26" s="474"/>
      <c r="B26" s="462" t="s">
        <v>79</v>
      </c>
      <c r="C26" s="330"/>
      <c r="D26" s="486"/>
      <c r="E26" s="475"/>
      <c r="F26" s="476"/>
      <c r="G26" s="477"/>
      <c r="H26" s="463"/>
      <c r="I26" s="478"/>
      <c r="J26" s="479"/>
      <c r="K26" s="480"/>
      <c r="L26" s="464"/>
      <c r="M26" s="54"/>
      <c r="N26" s="55"/>
      <c r="O26" s="464"/>
      <c r="P26" s="465"/>
    </row>
    <row r="27" spans="1:17" s="9" customFormat="1" ht="41.25" customHeight="1" x14ac:dyDescent="0.25">
      <c r="A27" s="78"/>
      <c r="B27" s="79"/>
      <c r="C27" s="490" t="s">
        <v>220</v>
      </c>
      <c r="D27" s="351">
        <v>45117</v>
      </c>
      <c r="E27" s="341" t="s">
        <v>50</v>
      </c>
      <c r="F27" s="82"/>
      <c r="G27" s="83">
        <v>45000</v>
      </c>
      <c r="H27" s="429"/>
      <c r="I27" s="468" t="s">
        <v>222</v>
      </c>
      <c r="J27" s="335" t="s">
        <v>221</v>
      </c>
      <c r="K27" s="343">
        <v>1</v>
      </c>
      <c r="L27" s="430"/>
      <c r="M27" s="410">
        <f>K27</f>
        <v>1</v>
      </c>
      <c r="N27" s="376"/>
      <c r="O27" s="332"/>
      <c r="P27" s="435">
        <f t="shared" ref="P27" si="7">M27-N27</f>
        <v>1</v>
      </c>
    </row>
    <row r="28" spans="1:17" s="56" customFormat="1" ht="18" customHeight="1" x14ac:dyDescent="0.25">
      <c r="A28" s="41"/>
      <c r="B28" s="330" t="s">
        <v>94</v>
      </c>
      <c r="C28" s="96"/>
      <c r="D28" s="44"/>
      <c r="E28" s="45"/>
      <c r="F28" s="46"/>
      <c r="G28" s="47"/>
      <c r="H28" s="48"/>
      <c r="I28" s="49"/>
      <c r="J28" s="50"/>
      <c r="K28" s="51"/>
      <c r="L28" s="53"/>
      <c r="M28" s="49"/>
      <c r="N28" s="55"/>
      <c r="O28" s="53"/>
      <c r="P28" s="54"/>
      <c r="Q28" s="424"/>
    </row>
    <row r="29" spans="1:17" s="9" customFormat="1" ht="42.75" customHeight="1" x14ac:dyDescent="0.25">
      <c r="A29" s="78"/>
      <c r="B29" s="79"/>
      <c r="C29" s="490" t="s">
        <v>621</v>
      </c>
      <c r="D29" s="351">
        <v>45268</v>
      </c>
      <c r="E29" s="341" t="s">
        <v>50</v>
      </c>
      <c r="F29" s="82"/>
      <c r="G29" s="83">
        <v>45261</v>
      </c>
      <c r="H29" s="429"/>
      <c r="I29" s="468" t="s">
        <v>619</v>
      </c>
      <c r="J29" s="335" t="s">
        <v>620</v>
      </c>
      <c r="K29" s="343">
        <v>6</v>
      </c>
      <c r="L29" s="430"/>
      <c r="M29" s="410">
        <f>K29</f>
        <v>6</v>
      </c>
      <c r="N29" s="376"/>
      <c r="O29" s="332"/>
      <c r="P29" s="435">
        <f t="shared" ref="P29" si="8">M29-N29</f>
        <v>6</v>
      </c>
    </row>
    <row r="30" spans="1:17" s="9" customFormat="1" ht="42" customHeight="1" x14ac:dyDescent="0.25">
      <c r="A30" s="78"/>
      <c r="B30" s="79"/>
      <c r="C30" s="490" t="s">
        <v>636</v>
      </c>
      <c r="D30" s="351">
        <v>45274</v>
      </c>
      <c r="E30" s="341" t="s">
        <v>50</v>
      </c>
      <c r="F30" s="82"/>
      <c r="G30" s="83">
        <v>45267</v>
      </c>
      <c r="H30" s="429"/>
      <c r="I30" s="468" t="s">
        <v>637</v>
      </c>
      <c r="J30" s="335" t="s">
        <v>620</v>
      </c>
      <c r="K30" s="343">
        <v>8</v>
      </c>
      <c r="L30" s="430"/>
      <c r="M30" s="410">
        <f>K30</f>
        <v>8</v>
      </c>
      <c r="N30" s="376"/>
      <c r="O30" s="332"/>
      <c r="P30" s="435">
        <f t="shared" ref="P30" si="9">M30-N30</f>
        <v>8</v>
      </c>
    </row>
    <row r="31" spans="1:17" s="56" customFormat="1" ht="18.75" customHeight="1" x14ac:dyDescent="0.25">
      <c r="A31" s="41"/>
      <c r="B31" s="330" t="s">
        <v>614</v>
      </c>
      <c r="C31" s="96"/>
      <c r="D31" s="44"/>
      <c r="E31" s="45"/>
      <c r="F31" s="46"/>
      <c r="G31" s="47"/>
      <c r="H31" s="48"/>
      <c r="I31" s="49"/>
      <c r="J31" s="50"/>
      <c r="K31" s="51"/>
      <c r="L31" s="53"/>
      <c r="M31" s="54"/>
      <c r="N31" s="55"/>
      <c r="O31" s="53"/>
      <c r="P31" s="54"/>
    </row>
    <row r="32" spans="1:17" s="9" customFormat="1" ht="41.25" customHeight="1" x14ac:dyDescent="0.25">
      <c r="A32" s="78"/>
      <c r="B32" s="79"/>
      <c r="C32" s="490" t="s">
        <v>615</v>
      </c>
      <c r="D32" s="351" t="s">
        <v>616</v>
      </c>
      <c r="E32" s="341">
        <v>45322</v>
      </c>
      <c r="F32" s="82"/>
      <c r="G32" s="83">
        <v>45261</v>
      </c>
      <c r="H32" s="429"/>
      <c r="I32" s="468" t="s">
        <v>617</v>
      </c>
      <c r="J32" s="335" t="s">
        <v>618</v>
      </c>
      <c r="K32" s="443">
        <v>1</v>
      </c>
      <c r="L32" s="430"/>
      <c r="M32" s="410">
        <v>1</v>
      </c>
      <c r="N32" s="376"/>
      <c r="O32" s="332"/>
      <c r="P32" s="435">
        <v>1</v>
      </c>
    </row>
    <row r="33" spans="1:16" s="9" customFormat="1" ht="16.5" customHeight="1" x14ac:dyDescent="0.25">
      <c r="A33" s="97"/>
      <c r="B33" s="330" t="s">
        <v>45</v>
      </c>
      <c r="C33" s="96"/>
      <c r="D33" s="98"/>
      <c r="E33" s="99"/>
      <c r="F33" s="100"/>
      <c r="G33" s="101"/>
      <c r="H33" s="102"/>
      <c r="I33" s="103"/>
      <c r="J33" s="105"/>
      <c r="K33" s="106"/>
      <c r="L33" s="53"/>
      <c r="M33" s="54"/>
      <c r="N33" s="55"/>
      <c r="O33" s="53"/>
      <c r="P33" s="54"/>
    </row>
    <row r="34" spans="1:16" s="121" customFormat="1" ht="39.6" x14ac:dyDescent="0.25">
      <c r="A34" s="78"/>
      <c r="B34" s="132"/>
      <c r="C34" s="472"/>
      <c r="D34" s="426"/>
      <c r="E34" s="337"/>
      <c r="F34" s="93"/>
      <c r="G34" s="94"/>
      <c r="H34" s="134"/>
      <c r="I34" s="468" t="s">
        <v>67</v>
      </c>
      <c r="J34" s="336" t="s">
        <v>68</v>
      </c>
      <c r="K34" s="470">
        <v>4</v>
      </c>
      <c r="L34" s="135"/>
      <c r="M34" s="87">
        <f t="shared" ref="M34:M71" si="10">K34</f>
        <v>4</v>
      </c>
      <c r="N34" s="130"/>
      <c r="O34" s="135"/>
      <c r="P34" s="137">
        <f t="shared" ref="P34:P63" si="11">M34-N34</f>
        <v>4</v>
      </c>
    </row>
    <row r="35" spans="1:16" s="121" customFormat="1" ht="30.75" customHeight="1" x14ac:dyDescent="0.25">
      <c r="A35" s="78"/>
      <c r="B35" s="132"/>
      <c r="C35" s="467"/>
      <c r="D35" s="426">
        <v>44992</v>
      </c>
      <c r="E35" s="337" t="s">
        <v>50</v>
      </c>
      <c r="F35" s="93"/>
      <c r="G35" s="426">
        <v>44902</v>
      </c>
      <c r="H35" s="134"/>
      <c r="I35" s="468" t="s">
        <v>143</v>
      </c>
      <c r="J35" s="336" t="s">
        <v>142</v>
      </c>
      <c r="K35" s="470">
        <v>1</v>
      </c>
      <c r="L35" s="135"/>
      <c r="M35" s="87">
        <f t="shared" si="10"/>
        <v>1</v>
      </c>
      <c r="N35" s="130"/>
      <c r="O35" s="135"/>
      <c r="P35" s="137">
        <f t="shared" si="11"/>
        <v>1</v>
      </c>
    </row>
    <row r="36" spans="1:16" s="121" customFormat="1" ht="36.75" customHeight="1" x14ac:dyDescent="0.25">
      <c r="A36" s="78"/>
      <c r="B36" s="132"/>
      <c r="C36" s="549" t="s">
        <v>146</v>
      </c>
      <c r="D36" s="426">
        <v>44992</v>
      </c>
      <c r="E36" s="337" t="s">
        <v>50</v>
      </c>
      <c r="F36" s="93"/>
      <c r="G36" s="426">
        <v>44902</v>
      </c>
      <c r="H36" s="134"/>
      <c r="I36" s="468" t="s">
        <v>148</v>
      </c>
      <c r="J36" s="336" t="s">
        <v>147</v>
      </c>
      <c r="K36" s="470">
        <v>1</v>
      </c>
      <c r="L36" s="135"/>
      <c r="M36" s="87">
        <f t="shared" si="10"/>
        <v>1</v>
      </c>
      <c r="N36" s="130"/>
      <c r="O36" s="135"/>
      <c r="P36" s="137">
        <f t="shared" si="11"/>
        <v>1</v>
      </c>
    </row>
    <row r="37" spans="1:16" s="121" customFormat="1" ht="25.5" customHeight="1" x14ac:dyDescent="0.25">
      <c r="A37" s="78"/>
      <c r="B37" s="132"/>
      <c r="C37" s="790" t="s">
        <v>149</v>
      </c>
      <c r="D37" s="426">
        <v>44992</v>
      </c>
      <c r="E37" s="337" t="s">
        <v>50</v>
      </c>
      <c r="F37" s="93"/>
      <c r="G37" s="426">
        <v>44902</v>
      </c>
      <c r="H37" s="134"/>
      <c r="I37" s="468" t="s">
        <v>152</v>
      </c>
      <c r="J37" s="336" t="s">
        <v>150</v>
      </c>
      <c r="K37" s="470">
        <v>2</v>
      </c>
      <c r="L37" s="135"/>
      <c r="M37" s="87">
        <f t="shared" si="10"/>
        <v>2</v>
      </c>
      <c r="N37" s="130"/>
      <c r="O37" s="135"/>
      <c r="P37" s="137">
        <f t="shared" si="11"/>
        <v>2</v>
      </c>
    </row>
    <row r="38" spans="1:16" s="121" customFormat="1" ht="34.5" customHeight="1" x14ac:dyDescent="0.25">
      <c r="A38" s="78"/>
      <c r="B38" s="132"/>
      <c r="C38" s="791"/>
      <c r="D38" s="426">
        <v>44992</v>
      </c>
      <c r="E38" s="337" t="s">
        <v>50</v>
      </c>
      <c r="F38" s="93"/>
      <c r="G38" s="426">
        <v>44902</v>
      </c>
      <c r="H38" s="134"/>
      <c r="I38" s="468" t="s">
        <v>153</v>
      </c>
      <c r="J38" s="336" t="s">
        <v>151</v>
      </c>
      <c r="K38" s="470">
        <v>1</v>
      </c>
      <c r="L38" s="135"/>
      <c r="M38" s="87">
        <f t="shared" si="10"/>
        <v>1</v>
      </c>
      <c r="N38" s="130"/>
      <c r="O38" s="135"/>
      <c r="P38" s="137">
        <f t="shared" si="11"/>
        <v>1</v>
      </c>
    </row>
    <row r="39" spans="1:16" s="121" customFormat="1" ht="27" customHeight="1" x14ac:dyDescent="0.25">
      <c r="A39" s="78"/>
      <c r="B39" s="132"/>
      <c r="C39" s="791"/>
      <c r="D39" s="426">
        <v>45070</v>
      </c>
      <c r="E39" s="365" t="s">
        <v>50</v>
      </c>
      <c r="F39" s="93"/>
      <c r="G39" s="426">
        <v>44950</v>
      </c>
      <c r="H39" s="134"/>
      <c r="I39" s="468" t="s">
        <v>205</v>
      </c>
      <c r="J39" s="336" t="s">
        <v>202</v>
      </c>
      <c r="K39" s="513">
        <v>1</v>
      </c>
      <c r="L39" s="135"/>
      <c r="M39" s="87">
        <f t="shared" si="10"/>
        <v>1</v>
      </c>
      <c r="N39" s="130"/>
      <c r="O39" s="135"/>
      <c r="P39" s="137">
        <f t="shared" si="11"/>
        <v>1</v>
      </c>
    </row>
    <row r="40" spans="1:16" s="121" customFormat="1" ht="27" customHeight="1" x14ac:dyDescent="0.25">
      <c r="A40" s="78"/>
      <c r="B40" s="132"/>
      <c r="C40" s="791"/>
      <c r="D40" s="426">
        <v>45070</v>
      </c>
      <c r="E40" s="365" t="s">
        <v>50</v>
      </c>
      <c r="F40" s="93"/>
      <c r="G40" s="426">
        <v>44950</v>
      </c>
      <c r="H40" s="134"/>
      <c r="I40" s="468" t="s">
        <v>206</v>
      </c>
      <c r="J40" s="336" t="s">
        <v>203</v>
      </c>
      <c r="K40" s="513">
        <v>2</v>
      </c>
      <c r="L40" s="135"/>
      <c r="M40" s="87">
        <f t="shared" si="10"/>
        <v>2</v>
      </c>
      <c r="N40" s="130"/>
      <c r="O40" s="135"/>
      <c r="P40" s="137">
        <f t="shared" si="11"/>
        <v>2</v>
      </c>
    </row>
    <row r="41" spans="1:16" s="121" customFormat="1" ht="27" customHeight="1" x14ac:dyDescent="0.25">
      <c r="A41" s="78"/>
      <c r="B41" s="132"/>
      <c r="C41" s="791"/>
      <c r="D41" s="426">
        <v>45070</v>
      </c>
      <c r="E41" s="365" t="s">
        <v>50</v>
      </c>
      <c r="F41" s="93"/>
      <c r="G41" s="426">
        <v>44950</v>
      </c>
      <c r="H41" s="134"/>
      <c r="I41" s="468" t="s">
        <v>207</v>
      </c>
      <c r="J41" s="336" t="s">
        <v>204</v>
      </c>
      <c r="K41" s="513">
        <v>1</v>
      </c>
      <c r="L41" s="135"/>
      <c r="M41" s="87">
        <f t="shared" si="10"/>
        <v>1</v>
      </c>
      <c r="N41" s="130"/>
      <c r="O41" s="135"/>
      <c r="P41" s="137">
        <f t="shared" si="11"/>
        <v>1</v>
      </c>
    </row>
    <row r="42" spans="1:16" s="121" customFormat="1" ht="39.75" customHeight="1" x14ac:dyDescent="0.25">
      <c r="A42" s="78"/>
      <c r="B42" s="132"/>
      <c r="C42" s="546" t="s">
        <v>460</v>
      </c>
      <c r="D42" s="426">
        <v>45040</v>
      </c>
      <c r="E42" s="365" t="s">
        <v>50</v>
      </c>
      <c r="F42" s="93"/>
      <c r="G42" s="426">
        <v>44956</v>
      </c>
      <c r="H42" s="134"/>
      <c r="I42" s="468" t="s">
        <v>210</v>
      </c>
      <c r="J42" s="336" t="s">
        <v>150</v>
      </c>
      <c r="K42" s="513">
        <v>2</v>
      </c>
      <c r="L42" s="135"/>
      <c r="M42" s="87">
        <f t="shared" si="10"/>
        <v>2</v>
      </c>
      <c r="N42" s="130"/>
      <c r="O42" s="135"/>
      <c r="P42" s="137">
        <f t="shared" si="11"/>
        <v>2</v>
      </c>
    </row>
    <row r="43" spans="1:16" s="121" customFormat="1" ht="27" customHeight="1" x14ac:dyDescent="0.25">
      <c r="A43" s="78"/>
      <c r="B43" s="132"/>
      <c r="C43" s="790" t="s">
        <v>238</v>
      </c>
      <c r="D43" s="426">
        <v>45217</v>
      </c>
      <c r="E43" s="365" t="s">
        <v>50</v>
      </c>
      <c r="F43" s="93"/>
      <c r="G43" s="426">
        <v>45033</v>
      </c>
      <c r="H43" s="134"/>
      <c r="I43" s="468" t="s">
        <v>239</v>
      </c>
      <c r="J43" s="336" t="s">
        <v>144</v>
      </c>
      <c r="K43" s="513">
        <v>2</v>
      </c>
      <c r="L43" s="135"/>
      <c r="M43" s="87">
        <v>1</v>
      </c>
      <c r="N43" s="130">
        <v>1</v>
      </c>
      <c r="O43" s="135"/>
      <c r="P43" s="137">
        <f t="shared" si="11"/>
        <v>0</v>
      </c>
    </row>
    <row r="44" spans="1:16" s="121" customFormat="1" ht="27" customHeight="1" x14ac:dyDescent="0.25">
      <c r="A44" s="78"/>
      <c r="B44" s="132"/>
      <c r="C44" s="792"/>
      <c r="D44" s="426">
        <v>45217</v>
      </c>
      <c r="E44" s="365" t="s">
        <v>50</v>
      </c>
      <c r="F44" s="93"/>
      <c r="G44" s="426">
        <v>45033</v>
      </c>
      <c r="H44" s="134"/>
      <c r="I44" s="468" t="s">
        <v>240</v>
      </c>
      <c r="J44" s="336" t="s">
        <v>145</v>
      </c>
      <c r="K44" s="513">
        <v>2</v>
      </c>
      <c r="L44" s="135"/>
      <c r="M44" s="87">
        <v>1</v>
      </c>
      <c r="N44" s="130">
        <v>1</v>
      </c>
      <c r="O44" s="135"/>
      <c r="P44" s="137">
        <f t="shared" si="11"/>
        <v>0</v>
      </c>
    </row>
    <row r="45" spans="1:16" s="121" customFormat="1" ht="31.5" customHeight="1" x14ac:dyDescent="0.25">
      <c r="A45" s="78"/>
      <c r="B45" s="132"/>
      <c r="C45" s="790" t="s">
        <v>296</v>
      </c>
      <c r="D45" s="426">
        <v>45213</v>
      </c>
      <c r="E45" s="365" t="s">
        <v>50</v>
      </c>
      <c r="F45" s="93"/>
      <c r="G45" s="426">
        <v>45091</v>
      </c>
      <c r="H45" s="134"/>
      <c r="I45" s="468" t="s">
        <v>298</v>
      </c>
      <c r="J45" s="336" t="s">
        <v>294</v>
      </c>
      <c r="K45" s="513">
        <v>1</v>
      </c>
      <c r="L45" s="135"/>
      <c r="M45" s="87">
        <f t="shared" si="10"/>
        <v>1</v>
      </c>
      <c r="N45" s="130"/>
      <c r="O45" s="135"/>
      <c r="P45" s="137">
        <f t="shared" si="11"/>
        <v>1</v>
      </c>
    </row>
    <row r="46" spans="1:16" s="121" customFormat="1" ht="31.5" customHeight="1" x14ac:dyDescent="0.25">
      <c r="A46" s="78"/>
      <c r="B46" s="132"/>
      <c r="C46" s="792"/>
      <c r="D46" s="426">
        <v>45213</v>
      </c>
      <c r="E46" s="365" t="s">
        <v>50</v>
      </c>
      <c r="F46" s="93"/>
      <c r="G46" s="426">
        <v>45091</v>
      </c>
      <c r="H46" s="134"/>
      <c r="I46" s="468" t="s">
        <v>299</v>
      </c>
      <c r="J46" s="336" t="s">
        <v>151</v>
      </c>
      <c r="K46" s="513">
        <v>1</v>
      </c>
      <c r="L46" s="135"/>
      <c r="M46" s="87">
        <f t="shared" si="10"/>
        <v>1</v>
      </c>
      <c r="N46" s="130"/>
      <c r="O46" s="135"/>
      <c r="P46" s="137">
        <f t="shared" si="11"/>
        <v>1</v>
      </c>
    </row>
    <row r="47" spans="1:16" s="121" customFormat="1" ht="36.75" customHeight="1" x14ac:dyDescent="0.25">
      <c r="A47" s="78"/>
      <c r="B47" s="132"/>
      <c r="C47" s="489" t="s">
        <v>297</v>
      </c>
      <c r="D47" s="426">
        <v>45244</v>
      </c>
      <c r="E47" s="365" t="s">
        <v>50</v>
      </c>
      <c r="F47" s="93"/>
      <c r="G47" s="426">
        <v>45091</v>
      </c>
      <c r="H47" s="134"/>
      <c r="I47" s="468" t="s">
        <v>300</v>
      </c>
      <c r="J47" s="336" t="s">
        <v>295</v>
      </c>
      <c r="K47" s="513">
        <v>1</v>
      </c>
      <c r="L47" s="135"/>
      <c r="M47" s="87">
        <f t="shared" si="10"/>
        <v>1</v>
      </c>
      <c r="N47" s="130"/>
      <c r="O47" s="135"/>
      <c r="P47" s="137">
        <f t="shared" si="11"/>
        <v>1</v>
      </c>
    </row>
    <row r="48" spans="1:16" s="121" customFormat="1" ht="36.75" customHeight="1" x14ac:dyDescent="0.25">
      <c r="A48" s="78"/>
      <c r="B48" s="132"/>
      <c r="C48" s="489" t="s">
        <v>307</v>
      </c>
      <c r="D48" s="426">
        <v>45222</v>
      </c>
      <c r="E48" s="365" t="s">
        <v>50</v>
      </c>
      <c r="F48" s="93"/>
      <c r="G48" s="426">
        <v>45100</v>
      </c>
      <c r="H48" s="134"/>
      <c r="I48" s="468" t="s">
        <v>384</v>
      </c>
      <c r="J48" s="336" t="s">
        <v>308</v>
      </c>
      <c r="K48" s="513">
        <v>1</v>
      </c>
      <c r="L48" s="135"/>
      <c r="M48" s="87">
        <f t="shared" si="10"/>
        <v>1</v>
      </c>
      <c r="N48" s="130"/>
      <c r="O48" s="135"/>
      <c r="P48" s="137">
        <f t="shared" si="11"/>
        <v>1</v>
      </c>
    </row>
    <row r="49" spans="1:16" s="121" customFormat="1" ht="36.75" customHeight="1" x14ac:dyDescent="0.25">
      <c r="A49" s="78"/>
      <c r="B49" s="132"/>
      <c r="C49" s="790" t="s">
        <v>415</v>
      </c>
      <c r="D49" s="426">
        <v>44936</v>
      </c>
      <c r="E49" s="365" t="s">
        <v>50</v>
      </c>
      <c r="F49" s="93"/>
      <c r="G49" s="426">
        <v>45188</v>
      </c>
      <c r="H49" s="134"/>
      <c r="I49" s="468" t="s">
        <v>417</v>
      </c>
      <c r="J49" s="336" t="s">
        <v>209</v>
      </c>
      <c r="K49" s="513">
        <v>1</v>
      </c>
      <c r="L49" s="135"/>
      <c r="M49" s="87">
        <f t="shared" si="10"/>
        <v>1</v>
      </c>
      <c r="N49" s="130"/>
      <c r="O49" s="135"/>
      <c r="P49" s="137">
        <f t="shared" si="11"/>
        <v>1</v>
      </c>
    </row>
    <row r="50" spans="1:16" s="121" customFormat="1" ht="36.75" customHeight="1" x14ac:dyDescent="0.25">
      <c r="A50" s="78"/>
      <c r="B50" s="132"/>
      <c r="C50" s="792"/>
      <c r="D50" s="426">
        <v>44936</v>
      </c>
      <c r="E50" s="365" t="s">
        <v>50</v>
      </c>
      <c r="F50" s="93"/>
      <c r="G50" s="426">
        <v>45188</v>
      </c>
      <c r="H50" s="134"/>
      <c r="I50" s="468" t="s">
        <v>416</v>
      </c>
      <c r="J50" s="336" t="s">
        <v>145</v>
      </c>
      <c r="K50" s="513">
        <v>2</v>
      </c>
      <c r="L50" s="135"/>
      <c r="M50" s="87">
        <f t="shared" si="10"/>
        <v>2</v>
      </c>
      <c r="N50" s="130"/>
      <c r="O50" s="135"/>
      <c r="P50" s="137">
        <f t="shared" si="11"/>
        <v>2</v>
      </c>
    </row>
    <row r="51" spans="1:16" s="121" customFormat="1" ht="21.75" customHeight="1" x14ac:dyDescent="0.25">
      <c r="A51" s="78"/>
      <c r="B51" s="132"/>
      <c r="C51" s="549" t="s">
        <v>414</v>
      </c>
      <c r="D51" s="426">
        <v>45083</v>
      </c>
      <c r="E51" s="365" t="s">
        <v>50</v>
      </c>
      <c r="F51" s="93"/>
      <c r="G51" s="426">
        <v>45042</v>
      </c>
      <c r="H51" s="134"/>
      <c r="I51" s="468" t="s">
        <v>255</v>
      </c>
      <c r="J51" s="538" t="s">
        <v>226</v>
      </c>
      <c r="K51" s="513">
        <v>30</v>
      </c>
      <c r="L51" s="135"/>
      <c r="M51" s="87">
        <v>10</v>
      </c>
      <c r="N51" s="130"/>
      <c r="O51" s="135"/>
      <c r="P51" s="137">
        <f t="shared" si="11"/>
        <v>10</v>
      </c>
    </row>
    <row r="52" spans="1:16" s="121" customFormat="1" ht="44.25" customHeight="1" x14ac:dyDescent="0.25">
      <c r="A52" s="78"/>
      <c r="B52" s="132"/>
      <c r="C52" s="471" t="s">
        <v>514</v>
      </c>
      <c r="D52" s="351">
        <v>45047</v>
      </c>
      <c r="E52" s="365" t="s">
        <v>50</v>
      </c>
      <c r="F52" s="93"/>
      <c r="G52" s="426">
        <v>45231</v>
      </c>
      <c r="H52" s="134"/>
      <c r="I52" s="468" t="s">
        <v>515</v>
      </c>
      <c r="J52" s="336" t="s">
        <v>209</v>
      </c>
      <c r="K52" s="513">
        <v>2</v>
      </c>
      <c r="L52" s="135"/>
      <c r="M52" s="87">
        <v>2</v>
      </c>
      <c r="N52" s="130"/>
      <c r="O52" s="135"/>
      <c r="P52" s="137">
        <f t="shared" si="11"/>
        <v>2</v>
      </c>
    </row>
    <row r="53" spans="1:16" s="121" customFormat="1" ht="29.25" customHeight="1" x14ac:dyDescent="0.25">
      <c r="A53" s="78"/>
      <c r="B53" s="132"/>
      <c r="C53" s="471" t="s">
        <v>418</v>
      </c>
      <c r="D53" s="351">
        <v>45311</v>
      </c>
      <c r="E53" s="365" t="s">
        <v>50</v>
      </c>
      <c r="F53" s="93"/>
      <c r="G53" s="426">
        <v>45238</v>
      </c>
      <c r="H53" s="134"/>
      <c r="I53" s="468" t="s">
        <v>524</v>
      </c>
      <c r="J53" s="336" t="s">
        <v>525</v>
      </c>
      <c r="K53" s="513">
        <v>2</v>
      </c>
      <c r="L53" s="135"/>
      <c r="M53" s="87">
        <v>2</v>
      </c>
      <c r="N53" s="130"/>
      <c r="O53" s="135"/>
      <c r="P53" s="137">
        <f t="shared" si="11"/>
        <v>2</v>
      </c>
    </row>
    <row r="54" spans="1:16" s="121" customFormat="1" ht="29.25" customHeight="1" x14ac:dyDescent="0.25">
      <c r="A54" s="78"/>
      <c r="B54" s="132"/>
      <c r="C54" s="471" t="s">
        <v>418</v>
      </c>
      <c r="D54" s="351"/>
      <c r="E54" s="365" t="s">
        <v>50</v>
      </c>
      <c r="F54" s="93"/>
      <c r="G54" s="426">
        <v>45254</v>
      </c>
      <c r="H54" s="134"/>
      <c r="I54" s="468" t="s">
        <v>583</v>
      </c>
      <c r="J54" s="336" t="s">
        <v>584</v>
      </c>
      <c r="K54" s="513">
        <v>8</v>
      </c>
      <c r="L54" s="135"/>
      <c r="M54" s="87">
        <f>K54</f>
        <v>8</v>
      </c>
      <c r="N54" s="130"/>
      <c r="O54" s="135"/>
      <c r="P54" s="137">
        <f t="shared" si="11"/>
        <v>8</v>
      </c>
    </row>
    <row r="55" spans="1:16" s="121" customFormat="1" ht="34.5" customHeight="1" x14ac:dyDescent="0.25">
      <c r="A55" s="78"/>
      <c r="B55" s="132"/>
      <c r="C55" s="471" t="s">
        <v>629</v>
      </c>
      <c r="D55" s="351">
        <v>45416</v>
      </c>
      <c r="E55" s="365" t="s">
        <v>50</v>
      </c>
      <c r="F55" s="93"/>
      <c r="G55" s="426">
        <v>45254</v>
      </c>
      <c r="H55" s="134"/>
      <c r="I55" s="468" t="s">
        <v>625</v>
      </c>
      <c r="J55" s="336" t="s">
        <v>626</v>
      </c>
      <c r="K55" s="513">
        <v>1</v>
      </c>
      <c r="L55" s="135"/>
      <c r="M55" s="87">
        <f t="shared" ref="M55:M56" si="12">K55</f>
        <v>1</v>
      </c>
      <c r="N55" s="130"/>
      <c r="O55" s="135"/>
      <c r="P55" s="137">
        <f t="shared" si="11"/>
        <v>1</v>
      </c>
    </row>
    <row r="56" spans="1:16" s="121" customFormat="1" ht="35.25" customHeight="1" x14ac:dyDescent="0.25">
      <c r="A56" s="78"/>
      <c r="B56" s="132"/>
      <c r="C56" s="471" t="s">
        <v>630</v>
      </c>
      <c r="D56" s="351">
        <v>45355</v>
      </c>
      <c r="E56" s="365" t="s">
        <v>50</v>
      </c>
      <c r="F56" s="93"/>
      <c r="G56" s="426">
        <v>45254</v>
      </c>
      <c r="H56" s="134"/>
      <c r="I56" s="468" t="s">
        <v>627</v>
      </c>
      <c r="J56" s="336" t="s">
        <v>628</v>
      </c>
      <c r="K56" s="513">
        <v>6</v>
      </c>
      <c r="L56" s="135"/>
      <c r="M56" s="87">
        <f t="shared" si="12"/>
        <v>6</v>
      </c>
      <c r="N56" s="130">
        <v>6</v>
      </c>
      <c r="O56" s="135"/>
      <c r="P56" s="137">
        <f t="shared" si="11"/>
        <v>0</v>
      </c>
    </row>
    <row r="57" spans="1:16" s="121" customFormat="1" ht="35.25" customHeight="1" x14ac:dyDescent="0.25">
      <c r="A57" s="78"/>
      <c r="B57" s="132"/>
      <c r="C57" s="790" t="s">
        <v>649</v>
      </c>
      <c r="D57" s="351">
        <v>45383</v>
      </c>
      <c r="E57" s="365" t="s">
        <v>50</v>
      </c>
      <c r="F57" s="93"/>
      <c r="G57" s="426">
        <v>45267</v>
      </c>
      <c r="H57" s="134"/>
      <c r="I57" s="468" t="s">
        <v>650</v>
      </c>
      <c r="J57" s="336" t="s">
        <v>125</v>
      </c>
      <c r="K57" s="513">
        <v>1</v>
      </c>
      <c r="L57" s="135"/>
      <c r="M57" s="87">
        <f t="shared" ref="M57:M58" si="13">K57</f>
        <v>1</v>
      </c>
      <c r="N57" s="130"/>
      <c r="O57" s="135"/>
      <c r="P57" s="137">
        <f t="shared" ref="P57:P58" si="14">M57-N57</f>
        <v>1</v>
      </c>
    </row>
    <row r="58" spans="1:16" s="121" customFormat="1" ht="35.25" customHeight="1" x14ac:dyDescent="0.25">
      <c r="A58" s="78"/>
      <c r="B58" s="132"/>
      <c r="C58" s="792"/>
      <c r="D58" s="351">
        <v>45444</v>
      </c>
      <c r="E58" s="365" t="s">
        <v>50</v>
      </c>
      <c r="F58" s="93"/>
      <c r="G58" s="426">
        <v>45267</v>
      </c>
      <c r="H58" s="134"/>
      <c r="I58" s="468" t="s">
        <v>651</v>
      </c>
      <c r="J58" s="336" t="s">
        <v>648</v>
      </c>
      <c r="K58" s="513">
        <v>2</v>
      </c>
      <c r="L58" s="135"/>
      <c r="M58" s="87">
        <f t="shared" si="13"/>
        <v>2</v>
      </c>
      <c r="N58" s="130"/>
      <c r="O58" s="135"/>
      <c r="P58" s="137">
        <f t="shared" si="14"/>
        <v>2</v>
      </c>
    </row>
    <row r="59" spans="1:16" s="121" customFormat="1" ht="31.5" customHeight="1" x14ac:dyDescent="0.25">
      <c r="A59" s="78"/>
      <c r="B59" s="132"/>
      <c r="C59" s="556"/>
      <c r="D59" s="614">
        <v>45083</v>
      </c>
      <c r="E59" s="615" t="s">
        <v>50</v>
      </c>
      <c r="F59" s="616"/>
      <c r="G59" s="614">
        <v>45042</v>
      </c>
      <c r="H59" s="586"/>
      <c r="I59" s="529" t="s">
        <v>256</v>
      </c>
      <c r="J59" s="481" t="s">
        <v>243</v>
      </c>
      <c r="K59" s="617">
        <v>20</v>
      </c>
      <c r="L59" s="587"/>
      <c r="M59" s="530">
        <f t="shared" si="10"/>
        <v>20</v>
      </c>
      <c r="N59" s="618"/>
      <c r="O59" s="587"/>
      <c r="P59" s="531">
        <f t="shared" si="11"/>
        <v>20</v>
      </c>
    </row>
    <row r="60" spans="1:16" s="121" customFormat="1" ht="31.5" customHeight="1" x14ac:dyDescent="0.25">
      <c r="A60" s="78"/>
      <c r="B60" s="132"/>
      <c r="C60" s="556"/>
      <c r="D60" s="426">
        <v>45083</v>
      </c>
      <c r="E60" s="365" t="s">
        <v>50</v>
      </c>
      <c r="F60" s="93"/>
      <c r="G60" s="426">
        <v>45042</v>
      </c>
      <c r="H60" s="134"/>
      <c r="I60" s="468" t="s">
        <v>257</v>
      </c>
      <c r="J60" s="336" t="s">
        <v>244</v>
      </c>
      <c r="K60" s="513">
        <v>5</v>
      </c>
      <c r="L60" s="135"/>
      <c r="M60" s="87">
        <f t="shared" si="10"/>
        <v>5</v>
      </c>
      <c r="N60" s="130"/>
      <c r="O60" s="135"/>
      <c r="P60" s="137">
        <f t="shared" si="11"/>
        <v>5</v>
      </c>
    </row>
    <row r="61" spans="1:16" s="121" customFormat="1" ht="31.5" customHeight="1" x14ac:dyDescent="0.25">
      <c r="A61" s="78"/>
      <c r="B61" s="132"/>
      <c r="C61" s="556"/>
      <c r="D61" s="426">
        <v>45083</v>
      </c>
      <c r="E61" s="365" t="s">
        <v>50</v>
      </c>
      <c r="F61" s="93"/>
      <c r="G61" s="426">
        <v>45042</v>
      </c>
      <c r="H61" s="134"/>
      <c r="I61" s="468" t="s">
        <v>258</v>
      </c>
      <c r="J61" s="336" t="s">
        <v>245</v>
      </c>
      <c r="K61" s="513">
        <v>5</v>
      </c>
      <c r="L61" s="135"/>
      <c r="M61" s="87">
        <f t="shared" si="10"/>
        <v>5</v>
      </c>
      <c r="N61" s="130"/>
      <c r="O61" s="135"/>
      <c r="P61" s="137">
        <f t="shared" si="11"/>
        <v>5</v>
      </c>
    </row>
    <row r="62" spans="1:16" s="121" customFormat="1" ht="31.5" customHeight="1" x14ac:dyDescent="0.25">
      <c r="A62" s="78"/>
      <c r="B62" s="132"/>
      <c r="C62" s="556"/>
      <c r="D62" s="426">
        <v>45083</v>
      </c>
      <c r="E62" s="365" t="s">
        <v>50</v>
      </c>
      <c r="F62" s="93"/>
      <c r="G62" s="426">
        <v>45042</v>
      </c>
      <c r="H62" s="134"/>
      <c r="I62" s="468" t="s">
        <v>259</v>
      </c>
      <c r="J62" s="336" t="s">
        <v>246</v>
      </c>
      <c r="K62" s="513">
        <v>5</v>
      </c>
      <c r="L62" s="135"/>
      <c r="M62" s="87">
        <f t="shared" si="10"/>
        <v>5</v>
      </c>
      <c r="N62" s="130"/>
      <c r="O62" s="135"/>
      <c r="P62" s="137">
        <f t="shared" si="11"/>
        <v>5</v>
      </c>
    </row>
    <row r="63" spans="1:16" s="121" customFormat="1" ht="31.5" customHeight="1" x14ac:dyDescent="0.25">
      <c r="A63" s="78"/>
      <c r="B63" s="132"/>
      <c r="C63" s="556"/>
      <c r="D63" s="426">
        <v>45083</v>
      </c>
      <c r="E63" s="365" t="s">
        <v>50</v>
      </c>
      <c r="F63" s="93"/>
      <c r="G63" s="426">
        <v>45042</v>
      </c>
      <c r="H63" s="134"/>
      <c r="I63" s="468" t="s">
        <v>260</v>
      </c>
      <c r="J63" s="336" t="s">
        <v>247</v>
      </c>
      <c r="K63" s="513">
        <v>20</v>
      </c>
      <c r="L63" s="135"/>
      <c r="M63" s="87">
        <f t="shared" si="10"/>
        <v>20</v>
      </c>
      <c r="N63" s="130"/>
      <c r="O63" s="135"/>
      <c r="P63" s="137">
        <f t="shared" si="11"/>
        <v>20</v>
      </c>
    </row>
    <row r="64" spans="1:16" s="121" customFormat="1" ht="31.5" customHeight="1" x14ac:dyDescent="0.25">
      <c r="A64" s="78"/>
      <c r="B64" s="132"/>
      <c r="C64" s="556"/>
      <c r="D64" s="426">
        <v>45083</v>
      </c>
      <c r="E64" s="365" t="s">
        <v>50</v>
      </c>
      <c r="F64" s="93"/>
      <c r="G64" s="426">
        <v>45042</v>
      </c>
      <c r="H64" s="134"/>
      <c r="I64" s="468" t="s">
        <v>261</v>
      </c>
      <c r="J64" s="336" t="s">
        <v>248</v>
      </c>
      <c r="K64" s="513">
        <v>50</v>
      </c>
      <c r="L64" s="135"/>
      <c r="M64" s="87">
        <f t="shared" si="10"/>
        <v>50</v>
      </c>
      <c r="N64" s="130"/>
      <c r="O64" s="135"/>
      <c r="P64" s="137">
        <f t="shared" ref="P64:P71" si="15">M64-N64</f>
        <v>50</v>
      </c>
    </row>
    <row r="65" spans="1:16" s="121" customFormat="1" ht="27" customHeight="1" x14ac:dyDescent="0.25">
      <c r="A65" s="78"/>
      <c r="B65" s="132"/>
      <c r="C65" s="556"/>
      <c r="D65" s="614">
        <v>45083</v>
      </c>
      <c r="E65" s="615" t="s">
        <v>50</v>
      </c>
      <c r="F65" s="616"/>
      <c r="G65" s="614">
        <v>45042</v>
      </c>
      <c r="H65" s="586"/>
      <c r="I65" s="529" t="s">
        <v>262</v>
      </c>
      <c r="J65" s="481" t="s">
        <v>249</v>
      </c>
      <c r="K65" s="617">
        <v>25</v>
      </c>
      <c r="L65" s="587"/>
      <c r="M65" s="530">
        <f t="shared" si="10"/>
        <v>25</v>
      </c>
      <c r="N65" s="618"/>
      <c r="O65" s="587"/>
      <c r="P65" s="531">
        <f t="shared" si="15"/>
        <v>25</v>
      </c>
    </row>
    <row r="66" spans="1:16" s="121" customFormat="1" ht="33" customHeight="1" x14ac:dyDescent="0.25">
      <c r="A66" s="78"/>
      <c r="B66" s="132"/>
      <c r="C66" s="556"/>
      <c r="D66" s="614">
        <v>45083</v>
      </c>
      <c r="E66" s="615" t="s">
        <v>50</v>
      </c>
      <c r="F66" s="616"/>
      <c r="G66" s="614">
        <v>45042</v>
      </c>
      <c r="H66" s="586"/>
      <c r="I66" s="529" t="s">
        <v>263</v>
      </c>
      <c r="J66" s="481" t="s">
        <v>250</v>
      </c>
      <c r="K66" s="617">
        <v>10</v>
      </c>
      <c r="L66" s="587"/>
      <c r="M66" s="530">
        <f t="shared" si="10"/>
        <v>10</v>
      </c>
      <c r="N66" s="618"/>
      <c r="O66" s="587"/>
      <c r="P66" s="531">
        <f t="shared" si="15"/>
        <v>10</v>
      </c>
    </row>
    <row r="67" spans="1:16" s="121" customFormat="1" ht="33" customHeight="1" x14ac:dyDescent="0.25">
      <c r="A67" s="78"/>
      <c r="B67" s="132"/>
      <c r="C67" s="556"/>
      <c r="D67" s="426">
        <v>45083</v>
      </c>
      <c r="E67" s="365" t="s">
        <v>50</v>
      </c>
      <c r="F67" s="93"/>
      <c r="G67" s="426">
        <v>45042</v>
      </c>
      <c r="H67" s="134"/>
      <c r="I67" s="468" t="s">
        <v>264</v>
      </c>
      <c r="J67" s="336" t="s">
        <v>251</v>
      </c>
      <c r="K67" s="513">
        <v>2</v>
      </c>
      <c r="L67" s="135"/>
      <c r="M67" s="87">
        <f t="shared" si="10"/>
        <v>2</v>
      </c>
      <c r="N67" s="130"/>
      <c r="O67" s="135"/>
      <c r="P67" s="137">
        <f t="shared" si="15"/>
        <v>2</v>
      </c>
    </row>
    <row r="68" spans="1:16" s="121" customFormat="1" ht="33" customHeight="1" x14ac:dyDescent="0.25">
      <c r="A68" s="78"/>
      <c r="B68" s="132"/>
      <c r="C68" s="556"/>
      <c r="D68" s="426">
        <v>45083</v>
      </c>
      <c r="E68" s="365" t="s">
        <v>50</v>
      </c>
      <c r="F68" s="93"/>
      <c r="G68" s="426">
        <v>45042</v>
      </c>
      <c r="H68" s="134"/>
      <c r="I68" s="468" t="s">
        <v>265</v>
      </c>
      <c r="J68" s="336" t="s">
        <v>252</v>
      </c>
      <c r="K68" s="513">
        <v>2</v>
      </c>
      <c r="L68" s="135"/>
      <c r="M68" s="87">
        <f t="shared" si="10"/>
        <v>2</v>
      </c>
      <c r="N68" s="130"/>
      <c r="O68" s="135"/>
      <c r="P68" s="137">
        <f t="shared" si="15"/>
        <v>2</v>
      </c>
    </row>
    <row r="69" spans="1:16" s="121" customFormat="1" ht="33" customHeight="1" x14ac:dyDescent="0.25">
      <c r="A69" s="78"/>
      <c r="B69" s="132"/>
      <c r="C69" s="556"/>
      <c r="D69" s="426">
        <v>45083</v>
      </c>
      <c r="E69" s="365" t="s">
        <v>50</v>
      </c>
      <c r="F69" s="93"/>
      <c r="G69" s="426">
        <v>45042</v>
      </c>
      <c r="H69" s="134"/>
      <c r="I69" s="468" t="s">
        <v>266</v>
      </c>
      <c r="J69" s="336" t="s">
        <v>253</v>
      </c>
      <c r="K69" s="513">
        <v>2</v>
      </c>
      <c r="L69" s="135"/>
      <c r="M69" s="87">
        <f t="shared" si="10"/>
        <v>2</v>
      </c>
      <c r="N69" s="130"/>
      <c r="O69" s="135"/>
      <c r="P69" s="137">
        <f t="shared" si="15"/>
        <v>2</v>
      </c>
    </row>
    <row r="70" spans="1:16" s="121" customFormat="1" ht="33" customHeight="1" x14ac:dyDescent="0.25">
      <c r="A70" s="78"/>
      <c r="B70" s="132"/>
      <c r="C70" s="557"/>
      <c r="D70" s="426">
        <v>45083</v>
      </c>
      <c r="E70" s="365" t="s">
        <v>50</v>
      </c>
      <c r="F70" s="93"/>
      <c r="G70" s="426">
        <v>45042</v>
      </c>
      <c r="H70" s="134"/>
      <c r="I70" s="468" t="s">
        <v>267</v>
      </c>
      <c r="J70" s="336" t="s">
        <v>254</v>
      </c>
      <c r="K70" s="513">
        <v>2</v>
      </c>
      <c r="L70" s="135"/>
      <c r="M70" s="87">
        <f t="shared" si="10"/>
        <v>2</v>
      </c>
      <c r="N70" s="130"/>
      <c r="O70" s="135"/>
      <c r="P70" s="137">
        <f t="shared" si="15"/>
        <v>2</v>
      </c>
    </row>
    <row r="71" spans="1:16" s="121" customFormat="1" ht="33" customHeight="1" x14ac:dyDescent="0.25">
      <c r="A71" s="78"/>
      <c r="B71" s="132"/>
      <c r="C71" s="489"/>
      <c r="D71" s="426">
        <v>45232</v>
      </c>
      <c r="E71" s="365" t="s">
        <v>50</v>
      </c>
      <c r="F71" s="93"/>
      <c r="G71" s="426">
        <v>45042</v>
      </c>
      <c r="H71" s="134"/>
      <c r="I71" s="468" t="s">
        <v>268</v>
      </c>
      <c r="J71" s="336" t="s">
        <v>142</v>
      </c>
      <c r="K71" s="513">
        <v>1</v>
      </c>
      <c r="L71" s="135"/>
      <c r="M71" s="87">
        <f t="shared" si="10"/>
        <v>1</v>
      </c>
      <c r="N71" s="130"/>
      <c r="O71" s="135"/>
      <c r="P71" s="137">
        <f t="shared" si="15"/>
        <v>1</v>
      </c>
    </row>
    <row r="72" spans="1:16" s="9" customFormat="1" ht="27.75" customHeight="1" x14ac:dyDescent="0.25">
      <c r="A72" s="97"/>
      <c r="B72" s="330" t="s">
        <v>43</v>
      </c>
      <c r="C72" s="96"/>
      <c r="D72" s="98"/>
      <c r="E72" s="99"/>
      <c r="F72" s="100"/>
      <c r="G72" s="101"/>
      <c r="H72" s="102"/>
      <c r="I72" s="103"/>
      <c r="J72" s="105"/>
      <c r="K72" s="106"/>
      <c r="L72" s="111"/>
      <c r="M72" s="112"/>
      <c r="N72" s="113"/>
      <c r="O72" s="111"/>
      <c r="P72" s="112"/>
    </row>
    <row r="73" spans="1:16" s="1" customFormat="1" ht="35.25" customHeight="1" x14ac:dyDescent="0.25">
      <c r="A73" s="333"/>
      <c r="B73" s="377"/>
      <c r="C73" s="532" t="s">
        <v>242</v>
      </c>
      <c r="D73" s="436">
        <v>45090</v>
      </c>
      <c r="E73" s="365" t="s">
        <v>50</v>
      </c>
      <c r="F73" s="503"/>
      <c r="G73" s="437">
        <v>45028</v>
      </c>
      <c r="H73" s="421"/>
      <c r="I73" s="468" t="s">
        <v>236</v>
      </c>
      <c r="J73" s="447" t="s">
        <v>235</v>
      </c>
      <c r="K73" s="453">
        <v>1</v>
      </c>
      <c r="L73" s="420"/>
      <c r="M73" s="87">
        <f t="shared" ref="M73:M82" si="16">K73</f>
        <v>1</v>
      </c>
      <c r="N73" s="449"/>
      <c r="O73" s="142"/>
      <c r="P73" s="137">
        <f t="shared" ref="P73" si="17">K73-N73</f>
        <v>1</v>
      </c>
    </row>
    <row r="74" spans="1:16" s="1" customFormat="1" ht="35.25" customHeight="1" x14ac:dyDescent="0.25">
      <c r="A74" s="333"/>
      <c r="B74" s="377"/>
      <c r="C74" s="532" t="s">
        <v>279</v>
      </c>
      <c r="D74" s="436">
        <v>45137</v>
      </c>
      <c r="E74" s="365" t="s">
        <v>50</v>
      </c>
      <c r="F74" s="503"/>
      <c r="G74" s="437">
        <v>45082</v>
      </c>
      <c r="H74" s="421"/>
      <c r="I74" s="468" t="s">
        <v>280</v>
      </c>
      <c r="J74" s="447" t="s">
        <v>281</v>
      </c>
      <c r="K74" s="453">
        <v>1</v>
      </c>
      <c r="L74" s="420"/>
      <c r="M74" s="87">
        <f t="shared" si="16"/>
        <v>1</v>
      </c>
      <c r="N74" s="449"/>
      <c r="O74" s="142"/>
      <c r="P74" s="137">
        <f>M74-N74</f>
        <v>1</v>
      </c>
    </row>
    <row r="75" spans="1:16" s="1" customFormat="1" ht="35.25" customHeight="1" x14ac:dyDescent="0.25">
      <c r="A75" s="333"/>
      <c r="B75" s="377"/>
      <c r="C75" s="797"/>
      <c r="D75" s="436">
        <v>45244</v>
      </c>
      <c r="E75" s="365" t="s">
        <v>60</v>
      </c>
      <c r="F75" s="503"/>
      <c r="G75" s="437">
        <v>45156</v>
      </c>
      <c r="H75" s="421"/>
      <c r="I75" s="468" t="s">
        <v>368</v>
      </c>
      <c r="J75" s="447" t="s">
        <v>365</v>
      </c>
      <c r="K75" s="453">
        <v>2</v>
      </c>
      <c r="L75" s="420"/>
      <c r="M75" s="87">
        <f t="shared" si="16"/>
        <v>2</v>
      </c>
      <c r="N75" s="449"/>
      <c r="O75" s="142"/>
      <c r="P75" s="137">
        <f t="shared" ref="P75:P81" si="18">M75-N75</f>
        <v>2</v>
      </c>
    </row>
    <row r="76" spans="1:16" s="1" customFormat="1" ht="35.25" customHeight="1" x14ac:dyDescent="0.25">
      <c r="A76" s="333"/>
      <c r="B76" s="377"/>
      <c r="C76" s="797"/>
      <c r="D76" s="436">
        <v>45244</v>
      </c>
      <c r="E76" s="365" t="s">
        <v>60</v>
      </c>
      <c r="F76" s="503"/>
      <c r="G76" s="437">
        <v>45156</v>
      </c>
      <c r="H76" s="421"/>
      <c r="I76" s="468" t="s">
        <v>369</v>
      </c>
      <c r="J76" s="447" t="s">
        <v>366</v>
      </c>
      <c r="K76" s="453">
        <v>1</v>
      </c>
      <c r="L76" s="420"/>
      <c r="M76" s="87">
        <f t="shared" si="16"/>
        <v>1</v>
      </c>
      <c r="N76" s="449"/>
      <c r="O76" s="142"/>
      <c r="P76" s="137">
        <f t="shared" si="18"/>
        <v>1</v>
      </c>
    </row>
    <row r="77" spans="1:16" s="1" customFormat="1" ht="35.25" customHeight="1" x14ac:dyDescent="0.25">
      <c r="A77" s="333"/>
      <c r="B77" s="377"/>
      <c r="C77" s="797"/>
      <c r="D77" s="436">
        <v>45244</v>
      </c>
      <c r="E77" s="365" t="s">
        <v>60</v>
      </c>
      <c r="F77" s="503"/>
      <c r="G77" s="437">
        <v>45156</v>
      </c>
      <c r="H77" s="421"/>
      <c r="I77" s="468" t="s">
        <v>370</v>
      </c>
      <c r="J77" s="447" t="s">
        <v>367</v>
      </c>
      <c r="K77" s="453">
        <v>1</v>
      </c>
      <c r="L77" s="420"/>
      <c r="M77" s="87">
        <f t="shared" si="16"/>
        <v>1</v>
      </c>
      <c r="N77" s="449"/>
      <c r="O77" s="142"/>
      <c r="P77" s="137">
        <f t="shared" si="18"/>
        <v>1</v>
      </c>
    </row>
    <row r="78" spans="1:16" s="1" customFormat="1" ht="35.25" customHeight="1" x14ac:dyDescent="0.25">
      <c r="A78" s="333"/>
      <c r="B78" s="377"/>
      <c r="C78" s="798"/>
      <c r="D78" s="436">
        <v>45244</v>
      </c>
      <c r="E78" s="365" t="s">
        <v>60</v>
      </c>
      <c r="F78" s="503"/>
      <c r="G78" s="437">
        <v>45156</v>
      </c>
      <c r="H78" s="421"/>
      <c r="I78" s="468" t="s">
        <v>371</v>
      </c>
      <c r="J78" s="335" t="s">
        <v>208</v>
      </c>
      <c r="K78" s="453">
        <v>30</v>
      </c>
      <c r="L78" s="420"/>
      <c r="M78" s="87">
        <f t="shared" si="16"/>
        <v>30</v>
      </c>
      <c r="N78" s="449"/>
      <c r="O78" s="142"/>
      <c r="P78" s="137">
        <f t="shared" si="18"/>
        <v>30</v>
      </c>
    </row>
    <row r="79" spans="1:16" s="1" customFormat="1" ht="35.25" customHeight="1" x14ac:dyDescent="0.25">
      <c r="A79" s="333"/>
      <c r="B79" s="377"/>
      <c r="C79" s="532" t="s">
        <v>482</v>
      </c>
      <c r="D79" s="436">
        <v>45270</v>
      </c>
      <c r="E79" s="365" t="s">
        <v>60</v>
      </c>
      <c r="F79" s="503"/>
      <c r="G79" s="437">
        <v>45210</v>
      </c>
      <c r="H79" s="421"/>
      <c r="I79" s="468" t="s">
        <v>481</v>
      </c>
      <c r="J79" s="447" t="s">
        <v>480</v>
      </c>
      <c r="K79" s="453">
        <v>12</v>
      </c>
      <c r="L79" s="420"/>
      <c r="M79" s="87">
        <v>6</v>
      </c>
      <c r="N79" s="449">
        <v>5</v>
      </c>
      <c r="O79" s="142"/>
      <c r="P79" s="137">
        <f t="shared" si="18"/>
        <v>1</v>
      </c>
    </row>
    <row r="80" spans="1:16" s="1" customFormat="1" ht="35.25" customHeight="1" x14ac:dyDescent="0.25">
      <c r="A80" s="333"/>
      <c r="B80" s="377"/>
      <c r="C80" s="532" t="s">
        <v>490</v>
      </c>
      <c r="D80" s="436">
        <v>45301</v>
      </c>
      <c r="E80" s="365" t="s">
        <v>60</v>
      </c>
      <c r="F80" s="503"/>
      <c r="G80" s="437">
        <v>45210</v>
      </c>
      <c r="H80" s="421"/>
      <c r="I80" s="468" t="s">
        <v>492</v>
      </c>
      <c r="J80" s="447" t="s">
        <v>491</v>
      </c>
      <c r="K80" s="453">
        <v>2</v>
      </c>
      <c r="L80" s="420"/>
      <c r="M80" s="87">
        <f t="shared" si="16"/>
        <v>2</v>
      </c>
      <c r="N80" s="449"/>
      <c r="O80" s="142"/>
      <c r="P80" s="137">
        <f t="shared" si="18"/>
        <v>2</v>
      </c>
    </row>
    <row r="81" spans="1:16" s="1" customFormat="1" ht="35.25" customHeight="1" x14ac:dyDescent="0.25">
      <c r="A81" s="333"/>
      <c r="B81" s="377"/>
      <c r="C81" s="532" t="s">
        <v>484</v>
      </c>
      <c r="D81" s="436">
        <v>45255</v>
      </c>
      <c r="E81" s="365" t="s">
        <v>60</v>
      </c>
      <c r="F81" s="503"/>
      <c r="G81" s="437">
        <v>45210</v>
      </c>
      <c r="H81" s="421"/>
      <c r="I81" s="468" t="s">
        <v>483</v>
      </c>
      <c r="J81" s="447" t="s">
        <v>269</v>
      </c>
      <c r="K81" s="453">
        <v>16</v>
      </c>
      <c r="L81" s="420"/>
      <c r="M81" s="87">
        <v>2</v>
      </c>
      <c r="N81" s="449">
        <v>2</v>
      </c>
      <c r="O81" s="142"/>
      <c r="P81" s="137">
        <f t="shared" si="18"/>
        <v>0</v>
      </c>
    </row>
    <row r="82" spans="1:16" s="1" customFormat="1" ht="32.25" customHeight="1" x14ac:dyDescent="0.25">
      <c r="A82" s="333"/>
      <c r="B82" s="377"/>
      <c r="C82" s="488"/>
      <c r="D82" s="436"/>
      <c r="E82" s="365"/>
      <c r="F82" s="503"/>
      <c r="G82" s="437"/>
      <c r="H82" s="421"/>
      <c r="I82" s="468" t="s">
        <v>382</v>
      </c>
      <c r="J82" s="447" t="s">
        <v>228</v>
      </c>
      <c r="K82" s="453">
        <v>15</v>
      </c>
      <c r="L82" s="420"/>
      <c r="M82" s="87">
        <f t="shared" si="16"/>
        <v>15</v>
      </c>
      <c r="N82" s="449"/>
      <c r="O82" s="142"/>
      <c r="P82" s="137">
        <f>M82-N82</f>
        <v>15</v>
      </c>
    </row>
    <row r="83" spans="1:16" s="1" customFormat="1" ht="16.5" customHeight="1" x14ac:dyDescent="0.25">
      <c r="A83" s="474"/>
      <c r="B83" s="462" t="s">
        <v>111</v>
      </c>
      <c r="C83" s="330"/>
      <c r="D83" s="486"/>
      <c r="E83" s="475"/>
      <c r="F83" s="476"/>
      <c r="G83" s="477"/>
      <c r="H83" s="463"/>
      <c r="I83" s="478"/>
      <c r="J83" s="479"/>
      <c r="K83" s="480"/>
      <c r="L83" s="464"/>
      <c r="M83" s="54"/>
      <c r="N83" s="55"/>
      <c r="O83" s="464"/>
      <c r="P83" s="465"/>
    </row>
    <row r="84" spans="1:16" s="9" customFormat="1" ht="25.5" customHeight="1" x14ac:dyDescent="0.25">
      <c r="A84" s="78"/>
      <c r="B84" s="527"/>
      <c r="C84" s="595" t="s">
        <v>562</v>
      </c>
      <c r="D84" s="351">
        <v>45209</v>
      </c>
      <c r="E84" s="337" t="s">
        <v>50</v>
      </c>
      <c r="F84" s="380"/>
      <c r="G84" s="351">
        <v>45086</v>
      </c>
      <c r="H84" s="328"/>
      <c r="I84" s="338" t="s">
        <v>289</v>
      </c>
      <c r="J84" s="335" t="s">
        <v>288</v>
      </c>
      <c r="K84" s="453">
        <v>1</v>
      </c>
      <c r="L84" s="329"/>
      <c r="M84" s="87">
        <f t="shared" ref="M84:M87" si="19">K84</f>
        <v>1</v>
      </c>
      <c r="N84" s="449"/>
      <c r="O84" s="142"/>
      <c r="P84" s="137">
        <f t="shared" ref="P84:P87" si="20">M84-N84</f>
        <v>1</v>
      </c>
    </row>
    <row r="85" spans="1:16" s="9" customFormat="1" ht="25.5" customHeight="1" x14ac:dyDescent="0.25">
      <c r="A85" s="78"/>
      <c r="B85" s="527"/>
      <c r="C85" s="596" t="s">
        <v>561</v>
      </c>
      <c r="D85" s="351">
        <v>45026</v>
      </c>
      <c r="E85" s="337" t="s">
        <v>50</v>
      </c>
      <c r="F85" s="380"/>
      <c r="G85" s="351">
        <v>45244</v>
      </c>
      <c r="H85" s="328"/>
      <c r="I85" s="338" t="s">
        <v>559</v>
      </c>
      <c r="J85" s="335" t="s">
        <v>560</v>
      </c>
      <c r="K85" s="453">
        <v>1</v>
      </c>
      <c r="L85" s="329"/>
      <c r="M85" s="87">
        <f t="shared" si="19"/>
        <v>1</v>
      </c>
      <c r="N85" s="449"/>
      <c r="O85" s="142"/>
      <c r="P85" s="137">
        <f t="shared" si="20"/>
        <v>1</v>
      </c>
    </row>
    <row r="86" spans="1:16" s="9" customFormat="1" ht="25.5" customHeight="1" x14ac:dyDescent="0.25">
      <c r="A86" s="78"/>
      <c r="B86" s="527"/>
      <c r="C86" s="598" t="s">
        <v>671</v>
      </c>
      <c r="D86" s="351">
        <v>45407</v>
      </c>
      <c r="E86" s="337" t="s">
        <v>50</v>
      </c>
      <c r="F86" s="380"/>
      <c r="G86" s="351">
        <v>45286</v>
      </c>
      <c r="H86" s="328"/>
      <c r="I86" s="338" t="s">
        <v>672</v>
      </c>
      <c r="J86" s="335" t="s">
        <v>673</v>
      </c>
      <c r="K86" s="453">
        <v>3</v>
      </c>
      <c r="L86" s="329"/>
      <c r="M86" s="87">
        <f t="shared" ref="M86" si="21">K86</f>
        <v>3</v>
      </c>
      <c r="N86" s="449"/>
      <c r="O86" s="142"/>
      <c r="P86" s="137">
        <f t="shared" ref="P86" si="22">M86-N86</f>
        <v>3</v>
      </c>
    </row>
    <row r="87" spans="1:16" s="9" customFormat="1" ht="25.5" customHeight="1" x14ac:dyDescent="0.25">
      <c r="A87" s="78"/>
      <c r="B87" s="527"/>
      <c r="C87" s="598" t="s">
        <v>585</v>
      </c>
      <c r="D87" s="351">
        <v>45285</v>
      </c>
      <c r="E87" s="337" t="s">
        <v>50</v>
      </c>
      <c r="F87" s="380"/>
      <c r="G87" s="351">
        <v>45258</v>
      </c>
      <c r="H87" s="328"/>
      <c r="I87" s="338" t="s">
        <v>586</v>
      </c>
      <c r="J87" s="335" t="s">
        <v>587</v>
      </c>
      <c r="K87" s="453">
        <v>6</v>
      </c>
      <c r="L87" s="329"/>
      <c r="M87" s="87">
        <f t="shared" si="19"/>
        <v>6</v>
      </c>
      <c r="N87" s="449"/>
      <c r="O87" s="142"/>
      <c r="P87" s="137">
        <f t="shared" si="20"/>
        <v>6</v>
      </c>
    </row>
    <row r="88" spans="1:16" s="56" customFormat="1" ht="21.75" customHeight="1" x14ac:dyDescent="0.25">
      <c r="A88" s="41"/>
      <c r="B88" s="516" t="s">
        <v>95</v>
      </c>
      <c r="C88" s="43"/>
      <c r="D88" s="44"/>
      <c r="E88" s="45"/>
      <c r="F88" s="46"/>
      <c r="G88" s="47"/>
      <c r="H88" s="460"/>
      <c r="I88" s="49"/>
      <c r="J88" s="50"/>
      <c r="K88" s="51"/>
      <c r="L88" s="461"/>
      <c r="M88" s="54"/>
      <c r="N88" s="55"/>
      <c r="O88" s="461"/>
      <c r="P88" s="54"/>
    </row>
    <row r="89" spans="1:16" s="9" customFormat="1" ht="25.5" customHeight="1" x14ac:dyDescent="0.25">
      <c r="A89" s="78"/>
      <c r="B89" s="379"/>
      <c r="C89" s="799" t="s">
        <v>360</v>
      </c>
      <c r="D89" s="552">
        <v>45291</v>
      </c>
      <c r="E89" s="365" t="s">
        <v>60</v>
      </c>
      <c r="F89" s="553"/>
      <c r="G89" s="351">
        <v>45141</v>
      </c>
      <c r="H89" s="328"/>
      <c r="I89" s="338" t="s">
        <v>361</v>
      </c>
      <c r="J89" s="335" t="s">
        <v>363</v>
      </c>
      <c r="K89" s="443">
        <v>1</v>
      </c>
      <c r="L89" s="458"/>
      <c r="M89" s="137">
        <f t="shared" ref="M89:M90" si="23">K89</f>
        <v>1</v>
      </c>
      <c r="N89" s="164"/>
      <c r="O89" s="438"/>
      <c r="P89" s="87">
        <f t="shared" ref="P89:P90" si="24">M89-N89</f>
        <v>1</v>
      </c>
    </row>
    <row r="90" spans="1:16" s="9" customFormat="1" ht="25.5" customHeight="1" x14ac:dyDescent="0.25">
      <c r="A90" s="78"/>
      <c r="B90" s="379"/>
      <c r="C90" s="794"/>
      <c r="D90" s="552">
        <v>45291</v>
      </c>
      <c r="E90" s="428" t="s">
        <v>60</v>
      </c>
      <c r="F90" s="553"/>
      <c r="G90" s="351">
        <v>45110</v>
      </c>
      <c r="H90" s="328"/>
      <c r="I90" s="338" t="s">
        <v>362</v>
      </c>
      <c r="J90" s="335" t="s">
        <v>364</v>
      </c>
      <c r="K90" s="443">
        <v>1</v>
      </c>
      <c r="L90" s="458"/>
      <c r="M90" s="137">
        <f t="shared" si="23"/>
        <v>1</v>
      </c>
      <c r="N90" s="164"/>
      <c r="O90" s="438"/>
      <c r="P90" s="87">
        <f t="shared" si="24"/>
        <v>1</v>
      </c>
    </row>
    <row r="91" spans="1:16" s="56" customFormat="1" ht="21" customHeight="1" x14ac:dyDescent="0.25">
      <c r="A91" s="41"/>
      <c r="B91" s="459" t="s">
        <v>588</v>
      </c>
      <c r="C91" s="43"/>
      <c r="D91" s="44"/>
      <c r="E91" s="45"/>
      <c r="F91" s="46"/>
      <c r="G91" s="47"/>
      <c r="H91" s="460"/>
      <c r="I91" s="49"/>
      <c r="J91" s="50"/>
      <c r="K91" s="51"/>
      <c r="L91" s="461"/>
      <c r="M91" s="54"/>
      <c r="N91" s="55"/>
      <c r="O91" s="461"/>
      <c r="P91" s="54"/>
    </row>
    <row r="92" spans="1:16" s="1" customFormat="1" ht="42.75" customHeight="1" x14ac:dyDescent="0.25">
      <c r="A92" s="333"/>
      <c r="B92" s="377"/>
      <c r="C92" s="469" t="s">
        <v>589</v>
      </c>
      <c r="D92" s="436">
        <v>45316</v>
      </c>
      <c r="E92" s="521" t="s">
        <v>50</v>
      </c>
      <c r="F92" s="512"/>
      <c r="G92" s="437">
        <v>45258</v>
      </c>
      <c r="H92" s="421"/>
      <c r="I92" s="338" t="s">
        <v>590</v>
      </c>
      <c r="J92" s="335" t="s">
        <v>219</v>
      </c>
      <c r="K92" s="453">
        <v>1</v>
      </c>
      <c r="L92" s="420"/>
      <c r="M92" s="137">
        <f t="shared" ref="M92" si="25">K92</f>
        <v>1</v>
      </c>
      <c r="N92" s="164"/>
      <c r="O92" s="438"/>
      <c r="P92" s="87">
        <f t="shared" ref="P92" si="26">M92-N92</f>
        <v>1</v>
      </c>
    </row>
    <row r="93" spans="1:16" s="56" customFormat="1" ht="17.25" customHeight="1" x14ac:dyDescent="0.25">
      <c r="A93" s="41"/>
      <c r="B93" s="462" t="s">
        <v>82</v>
      </c>
      <c r="C93" s="43"/>
      <c r="D93" s="44"/>
      <c r="E93" s="45"/>
      <c r="F93" s="46"/>
      <c r="G93" s="47"/>
      <c r="H93" s="48"/>
      <c r="I93" s="49"/>
      <c r="J93" s="50"/>
      <c r="K93" s="51"/>
      <c r="L93" s="53"/>
      <c r="M93" s="54"/>
      <c r="N93" s="55"/>
      <c r="O93" s="53"/>
      <c r="P93" s="54"/>
    </row>
    <row r="94" spans="1:16" s="9" customFormat="1" ht="26.4" x14ac:dyDescent="0.25">
      <c r="A94" s="89"/>
      <c r="B94" s="379"/>
      <c r="C94" s="800" t="s">
        <v>113</v>
      </c>
      <c r="D94" s="519"/>
      <c r="E94" s="428" t="s">
        <v>112</v>
      </c>
      <c r="F94" s="520"/>
      <c r="G94" s="108">
        <v>44755</v>
      </c>
      <c r="H94" s="457"/>
      <c r="I94" s="338" t="s">
        <v>114</v>
      </c>
      <c r="J94" s="335" t="s">
        <v>117</v>
      </c>
      <c r="K94" s="443">
        <v>1</v>
      </c>
      <c r="L94" s="458"/>
      <c r="M94" s="137">
        <f t="shared" ref="M94:M96" si="27">K94</f>
        <v>1</v>
      </c>
      <c r="N94" s="164"/>
      <c r="O94" s="438"/>
      <c r="P94" s="87">
        <f t="shared" ref="P94:P96" si="28">M94-N94</f>
        <v>1</v>
      </c>
    </row>
    <row r="95" spans="1:16" s="9" customFormat="1" ht="26.4" x14ac:dyDescent="0.25">
      <c r="A95" s="89"/>
      <c r="B95" s="379"/>
      <c r="C95" s="800"/>
      <c r="D95" s="473"/>
      <c r="E95" s="428" t="s">
        <v>112</v>
      </c>
      <c r="F95" s="456"/>
      <c r="G95" s="390">
        <v>44755</v>
      </c>
      <c r="H95" s="457"/>
      <c r="I95" s="338" t="s">
        <v>115</v>
      </c>
      <c r="J95" s="335" t="s">
        <v>118</v>
      </c>
      <c r="K95" s="443">
        <v>1</v>
      </c>
      <c r="L95" s="458"/>
      <c r="M95" s="137">
        <f t="shared" si="27"/>
        <v>1</v>
      </c>
      <c r="N95" s="164"/>
      <c r="O95" s="438"/>
      <c r="P95" s="87">
        <f t="shared" si="28"/>
        <v>1</v>
      </c>
    </row>
    <row r="96" spans="1:16" s="9" customFormat="1" ht="30.75" customHeight="1" x14ac:dyDescent="0.25">
      <c r="A96" s="89"/>
      <c r="B96" s="379"/>
      <c r="C96" s="801"/>
      <c r="D96" s="473"/>
      <c r="E96" s="428" t="s">
        <v>112</v>
      </c>
      <c r="F96" s="456"/>
      <c r="G96" s="390">
        <v>44755</v>
      </c>
      <c r="H96" s="457"/>
      <c r="I96" s="338" t="s">
        <v>116</v>
      </c>
      <c r="J96" s="335" t="s">
        <v>119</v>
      </c>
      <c r="K96" s="443">
        <v>1</v>
      </c>
      <c r="L96" s="458"/>
      <c r="M96" s="137">
        <f t="shared" si="27"/>
        <v>1</v>
      </c>
      <c r="N96" s="164"/>
      <c r="O96" s="438"/>
      <c r="P96" s="87">
        <f t="shared" si="28"/>
        <v>1</v>
      </c>
    </row>
    <row r="97" spans="1:16" s="9" customFormat="1" ht="16.5" customHeight="1" x14ac:dyDescent="0.25">
      <c r="A97" s="97"/>
      <c r="B97" s="369" t="s">
        <v>231</v>
      </c>
      <c r="C97" s="96"/>
      <c r="D97" s="98"/>
      <c r="E97" s="99"/>
      <c r="F97" s="100"/>
      <c r="G97" s="101"/>
      <c r="H97" s="102"/>
      <c r="I97" s="103"/>
      <c r="J97" s="105"/>
      <c r="K97" s="106"/>
      <c r="L97" s="53"/>
      <c r="M97" s="54"/>
      <c r="N97" s="55"/>
      <c r="O97" s="53"/>
      <c r="P97" s="54"/>
    </row>
    <row r="98" spans="1:16" s="9" customFormat="1" ht="26.4" x14ac:dyDescent="0.25">
      <c r="A98" s="89"/>
      <c r="B98" s="379"/>
      <c r="C98" s="802" t="s">
        <v>489</v>
      </c>
      <c r="D98" s="473">
        <v>44995</v>
      </c>
      <c r="E98" s="365" t="s">
        <v>60</v>
      </c>
      <c r="F98" s="456"/>
      <c r="G98" s="390">
        <v>45212</v>
      </c>
      <c r="H98" s="457"/>
      <c r="I98" s="338" t="s">
        <v>487</v>
      </c>
      <c r="J98" s="335" t="s">
        <v>485</v>
      </c>
      <c r="K98" s="443">
        <v>2</v>
      </c>
      <c r="L98" s="458"/>
      <c r="M98" s="137">
        <v>2</v>
      </c>
      <c r="N98" s="442"/>
      <c r="O98" s="438"/>
      <c r="P98" s="87">
        <f t="shared" ref="P98:P99" si="29">M98-N98</f>
        <v>2</v>
      </c>
    </row>
    <row r="99" spans="1:16" s="9" customFormat="1" ht="26.4" x14ac:dyDescent="0.25">
      <c r="A99" s="89"/>
      <c r="B99" s="379"/>
      <c r="C99" s="803"/>
      <c r="D99" s="473">
        <v>44995</v>
      </c>
      <c r="E99" s="508" t="s">
        <v>60</v>
      </c>
      <c r="F99" s="456"/>
      <c r="G99" s="390">
        <v>45212</v>
      </c>
      <c r="H99" s="457"/>
      <c r="I99" s="338" t="s">
        <v>488</v>
      </c>
      <c r="J99" s="335" t="s">
        <v>486</v>
      </c>
      <c r="K99" s="443">
        <v>2</v>
      </c>
      <c r="L99" s="458"/>
      <c r="M99" s="137">
        <v>3</v>
      </c>
      <c r="N99" s="442"/>
      <c r="O99" s="438"/>
      <c r="P99" s="87">
        <f t="shared" si="29"/>
        <v>3</v>
      </c>
    </row>
    <row r="100" spans="1:16" s="9" customFormat="1" ht="16.5" customHeight="1" x14ac:dyDescent="0.25">
      <c r="A100" s="97"/>
      <c r="B100" s="330" t="s">
        <v>61</v>
      </c>
      <c r="C100" s="96"/>
      <c r="D100" s="98"/>
      <c r="E100" s="99"/>
      <c r="F100" s="569">
        <f>SUM(F101:F102)</f>
        <v>0</v>
      </c>
      <c r="G100" s="101"/>
      <c r="H100" s="102"/>
      <c r="I100" s="103"/>
      <c r="J100" s="105"/>
      <c r="K100" s="106"/>
      <c r="L100" s="111"/>
      <c r="M100" s="112"/>
      <c r="N100" s="52"/>
      <c r="O100" s="111"/>
      <c r="P100" s="52"/>
    </row>
    <row r="101" spans="1:16" s="1" customFormat="1" ht="41.25" customHeight="1" x14ac:dyDescent="0.25">
      <c r="A101" s="333"/>
      <c r="B101" s="377"/>
      <c r="C101" s="470"/>
      <c r="D101" s="436">
        <v>45280</v>
      </c>
      <c r="E101" s="428" t="s">
        <v>50</v>
      </c>
      <c r="F101" s="570" t="s">
        <v>505</v>
      </c>
      <c r="G101" s="437">
        <v>44413</v>
      </c>
      <c r="H101" s="421"/>
      <c r="I101" s="338" t="s">
        <v>86</v>
      </c>
      <c r="J101" s="447" t="s">
        <v>526</v>
      </c>
      <c r="K101" s="454">
        <v>40</v>
      </c>
      <c r="L101" s="420"/>
      <c r="M101" s="137">
        <f>K101</f>
        <v>40</v>
      </c>
      <c r="N101" s="442"/>
      <c r="O101" s="438"/>
      <c r="P101" s="87">
        <f t="shared" ref="P101:P110" si="30">M101-N101</f>
        <v>40</v>
      </c>
    </row>
    <row r="102" spans="1:16" s="9" customFormat="1" ht="32.25" customHeight="1" x14ac:dyDescent="0.25">
      <c r="A102" s="78"/>
      <c r="B102" s="79"/>
      <c r="C102" s="536"/>
      <c r="D102" s="436">
        <v>45139</v>
      </c>
      <c r="E102" s="428" t="s">
        <v>50</v>
      </c>
      <c r="F102" s="572"/>
      <c r="G102" s="390">
        <v>45107</v>
      </c>
      <c r="H102" s="525"/>
      <c r="I102" s="468" t="s">
        <v>321</v>
      </c>
      <c r="J102" s="335" t="s">
        <v>316</v>
      </c>
      <c r="K102" s="443">
        <v>1</v>
      </c>
      <c r="L102" s="526"/>
      <c r="M102" s="137">
        <f t="shared" ref="M102:M110" si="31">K102</f>
        <v>1</v>
      </c>
      <c r="N102" s="442">
        <v>1</v>
      </c>
      <c r="O102" s="438"/>
      <c r="P102" s="137">
        <f t="shared" si="30"/>
        <v>0</v>
      </c>
    </row>
    <row r="103" spans="1:16" s="9" customFormat="1" ht="30.75" customHeight="1" x14ac:dyDescent="0.25">
      <c r="A103" s="78"/>
      <c r="B103" s="79"/>
      <c r="C103" s="547"/>
      <c r="D103" s="436">
        <v>45240</v>
      </c>
      <c r="E103" s="428" t="s">
        <v>50</v>
      </c>
      <c r="F103" s="524"/>
      <c r="G103" s="390">
        <v>45182</v>
      </c>
      <c r="H103" s="525"/>
      <c r="I103" s="468" t="s">
        <v>407</v>
      </c>
      <c r="J103" s="335" t="s">
        <v>316</v>
      </c>
      <c r="K103" s="443">
        <v>1</v>
      </c>
      <c r="L103" s="526"/>
      <c r="M103" s="137">
        <f t="shared" si="31"/>
        <v>1</v>
      </c>
      <c r="N103" s="442"/>
      <c r="O103" s="438"/>
      <c r="P103" s="137">
        <f t="shared" si="30"/>
        <v>1</v>
      </c>
    </row>
    <row r="104" spans="1:16" s="9" customFormat="1" ht="30.75" customHeight="1" x14ac:dyDescent="0.25">
      <c r="A104" s="78"/>
      <c r="B104" s="79"/>
      <c r="C104" s="547" t="s">
        <v>568</v>
      </c>
      <c r="D104" s="436">
        <v>44951</v>
      </c>
      <c r="E104" s="428" t="s">
        <v>50</v>
      </c>
      <c r="F104" s="524"/>
      <c r="G104" s="390">
        <v>45246</v>
      </c>
      <c r="H104" s="525"/>
      <c r="I104" s="468" t="s">
        <v>567</v>
      </c>
      <c r="J104" s="335" t="s">
        <v>292</v>
      </c>
      <c r="K104" s="443">
        <v>8</v>
      </c>
      <c r="L104" s="526"/>
      <c r="M104" s="137">
        <f t="shared" ref="M104" si="32">K104</f>
        <v>8</v>
      </c>
      <c r="N104" s="442"/>
      <c r="O104" s="438"/>
      <c r="P104" s="137">
        <f t="shared" ref="P104" si="33">M104-N104</f>
        <v>8</v>
      </c>
    </row>
    <row r="105" spans="1:16" s="9" customFormat="1" ht="30.75" customHeight="1" x14ac:dyDescent="0.25">
      <c r="A105" s="78"/>
      <c r="B105" s="79"/>
      <c r="C105" s="547" t="s">
        <v>570</v>
      </c>
      <c r="D105" s="436">
        <v>45250</v>
      </c>
      <c r="E105" s="428" t="s">
        <v>50</v>
      </c>
      <c r="F105" s="524"/>
      <c r="G105" s="390">
        <v>45246</v>
      </c>
      <c r="H105" s="525"/>
      <c r="I105" s="468" t="s">
        <v>571</v>
      </c>
      <c r="J105" s="335" t="s">
        <v>569</v>
      </c>
      <c r="K105" s="443">
        <v>2</v>
      </c>
      <c r="L105" s="526"/>
      <c r="M105" s="137">
        <f t="shared" si="31"/>
        <v>2</v>
      </c>
      <c r="N105" s="442"/>
      <c r="O105" s="438"/>
      <c r="P105" s="137">
        <f t="shared" si="30"/>
        <v>2</v>
      </c>
    </row>
    <row r="106" spans="1:16" s="9" customFormat="1" ht="30.75" customHeight="1" x14ac:dyDescent="0.25">
      <c r="A106" s="78"/>
      <c r="B106" s="79"/>
      <c r="C106" s="547" t="s">
        <v>570</v>
      </c>
      <c r="D106" s="436">
        <v>45250</v>
      </c>
      <c r="E106" s="428" t="s">
        <v>50</v>
      </c>
      <c r="F106" s="524"/>
      <c r="G106" s="390">
        <v>45246</v>
      </c>
      <c r="H106" s="525"/>
      <c r="I106" s="468" t="s">
        <v>572</v>
      </c>
      <c r="J106" s="335" t="s">
        <v>573</v>
      </c>
      <c r="K106" s="443">
        <v>2</v>
      </c>
      <c r="L106" s="526"/>
      <c r="M106" s="137">
        <f t="shared" si="31"/>
        <v>2</v>
      </c>
      <c r="N106" s="442"/>
      <c r="O106" s="438"/>
      <c r="P106" s="137">
        <f t="shared" si="30"/>
        <v>2</v>
      </c>
    </row>
    <row r="107" spans="1:16" s="9" customFormat="1" ht="36.75" customHeight="1" x14ac:dyDescent="0.25">
      <c r="A107" s="78"/>
      <c r="B107" s="79"/>
      <c r="C107" s="547" t="s">
        <v>575</v>
      </c>
      <c r="D107" s="436">
        <v>44951</v>
      </c>
      <c r="E107" s="428" t="s">
        <v>50</v>
      </c>
      <c r="F107" s="524"/>
      <c r="G107" s="390">
        <v>45250</v>
      </c>
      <c r="H107" s="525"/>
      <c r="I107" s="468" t="s">
        <v>574</v>
      </c>
      <c r="J107" s="335" t="s">
        <v>292</v>
      </c>
      <c r="K107" s="443">
        <v>8</v>
      </c>
      <c r="L107" s="526"/>
      <c r="M107" s="137">
        <f t="shared" si="31"/>
        <v>8</v>
      </c>
      <c r="N107" s="442"/>
      <c r="O107" s="438"/>
      <c r="P107" s="137">
        <f t="shared" si="30"/>
        <v>8</v>
      </c>
    </row>
    <row r="108" spans="1:16" s="9" customFormat="1" ht="36.75" customHeight="1" x14ac:dyDescent="0.25">
      <c r="A108" s="78"/>
      <c r="B108" s="79"/>
      <c r="C108" s="547" t="s">
        <v>632</v>
      </c>
      <c r="D108" s="436">
        <v>45285</v>
      </c>
      <c r="E108" s="428" t="s">
        <v>50</v>
      </c>
      <c r="F108" s="524"/>
      <c r="G108" s="390">
        <v>45258</v>
      </c>
      <c r="H108" s="525"/>
      <c r="I108" s="468" t="s">
        <v>631</v>
      </c>
      <c r="J108" s="335" t="s">
        <v>320</v>
      </c>
      <c r="K108" s="443">
        <v>2</v>
      </c>
      <c r="L108" s="526"/>
      <c r="M108" s="137">
        <f t="shared" si="31"/>
        <v>2</v>
      </c>
      <c r="N108" s="442"/>
      <c r="O108" s="438"/>
      <c r="P108" s="137">
        <f t="shared" si="30"/>
        <v>2</v>
      </c>
    </row>
    <row r="109" spans="1:16" s="9" customFormat="1" ht="36.75" customHeight="1" x14ac:dyDescent="0.25">
      <c r="A109" s="78"/>
      <c r="B109" s="79"/>
      <c r="C109" s="547" t="s">
        <v>424</v>
      </c>
      <c r="D109" s="436">
        <v>45261</v>
      </c>
      <c r="E109" s="428" t="s">
        <v>50</v>
      </c>
      <c r="F109" s="524"/>
      <c r="G109" s="390">
        <v>45189</v>
      </c>
      <c r="H109" s="525"/>
      <c r="I109" s="468" t="s">
        <v>425</v>
      </c>
      <c r="J109" s="335" t="s">
        <v>315</v>
      </c>
      <c r="K109" s="443">
        <v>8</v>
      </c>
      <c r="L109" s="526"/>
      <c r="M109" s="137">
        <f t="shared" si="31"/>
        <v>8</v>
      </c>
      <c r="N109" s="442"/>
      <c r="O109" s="438"/>
      <c r="P109" s="137">
        <f t="shared" si="30"/>
        <v>8</v>
      </c>
    </row>
    <row r="110" spans="1:16" s="9" customFormat="1" ht="32.25" customHeight="1" x14ac:dyDescent="0.25">
      <c r="A110" s="78"/>
      <c r="B110" s="79"/>
      <c r="C110" s="514" t="s">
        <v>309</v>
      </c>
      <c r="D110" s="436">
        <v>45117</v>
      </c>
      <c r="E110" s="428" t="s">
        <v>50</v>
      </c>
      <c r="F110" s="524"/>
      <c r="G110" s="390">
        <v>45086</v>
      </c>
      <c r="H110" s="525"/>
      <c r="I110" s="468" t="s">
        <v>293</v>
      </c>
      <c r="J110" s="335" t="s">
        <v>292</v>
      </c>
      <c r="K110" s="443">
        <v>4</v>
      </c>
      <c r="L110" s="526"/>
      <c r="M110" s="137">
        <f t="shared" si="31"/>
        <v>4</v>
      </c>
      <c r="N110" s="442"/>
      <c r="O110" s="438"/>
      <c r="P110" s="137">
        <f t="shared" si="30"/>
        <v>4</v>
      </c>
    </row>
    <row r="111" spans="1:16" s="9" customFormat="1" ht="32.25" customHeight="1" x14ac:dyDescent="0.25">
      <c r="A111" s="78"/>
      <c r="B111" s="79"/>
      <c r="C111" s="804" t="s">
        <v>658</v>
      </c>
      <c r="D111" s="436">
        <v>45321</v>
      </c>
      <c r="E111" s="428" t="s">
        <v>50</v>
      </c>
      <c r="F111" s="524"/>
      <c r="G111" s="390"/>
      <c r="H111" s="525"/>
      <c r="I111" s="468" t="s">
        <v>684</v>
      </c>
      <c r="J111" s="335" t="s">
        <v>327</v>
      </c>
      <c r="K111" s="443">
        <v>15</v>
      </c>
      <c r="L111" s="526"/>
      <c r="M111" s="137">
        <f t="shared" ref="M111:M121" si="34">K111</f>
        <v>15</v>
      </c>
      <c r="N111" s="442"/>
      <c r="O111" s="438"/>
      <c r="P111" s="137">
        <f t="shared" ref="P111:P121" si="35">M111-N111</f>
        <v>15</v>
      </c>
    </row>
    <row r="112" spans="1:16" s="9" customFormat="1" ht="32.25" customHeight="1" x14ac:dyDescent="0.25">
      <c r="A112" s="78"/>
      <c r="B112" s="79"/>
      <c r="C112" s="807"/>
      <c r="D112" s="436">
        <v>45332</v>
      </c>
      <c r="E112" s="428" t="s">
        <v>50</v>
      </c>
      <c r="F112" s="524"/>
      <c r="G112" s="390"/>
      <c r="H112" s="525"/>
      <c r="I112" s="468" t="s">
        <v>685</v>
      </c>
      <c r="J112" s="335" t="s">
        <v>319</v>
      </c>
      <c r="K112" s="443">
        <v>10</v>
      </c>
      <c r="L112" s="526"/>
      <c r="M112" s="137">
        <f t="shared" si="34"/>
        <v>10</v>
      </c>
      <c r="N112" s="442"/>
      <c r="O112" s="438"/>
      <c r="P112" s="137">
        <f t="shared" si="35"/>
        <v>10</v>
      </c>
    </row>
    <row r="113" spans="1:16" s="9" customFormat="1" ht="32.25" customHeight="1" x14ac:dyDescent="0.25">
      <c r="A113" s="78"/>
      <c r="B113" s="79"/>
      <c r="C113" s="804" t="s">
        <v>686</v>
      </c>
      <c r="D113" s="436">
        <v>45321</v>
      </c>
      <c r="E113" s="428" t="s">
        <v>50</v>
      </c>
      <c r="F113" s="524"/>
      <c r="G113" s="390">
        <v>45288</v>
      </c>
      <c r="H113" s="525"/>
      <c r="I113" s="468" t="s">
        <v>687</v>
      </c>
      <c r="J113" s="335" t="s">
        <v>310</v>
      </c>
      <c r="K113" s="443">
        <v>3</v>
      </c>
      <c r="L113" s="526"/>
      <c r="M113" s="137">
        <f t="shared" si="34"/>
        <v>3</v>
      </c>
      <c r="N113" s="442"/>
      <c r="O113" s="438"/>
      <c r="P113" s="137">
        <f t="shared" si="35"/>
        <v>3</v>
      </c>
    </row>
    <row r="114" spans="1:16" s="9" customFormat="1" ht="32.25" customHeight="1" x14ac:dyDescent="0.25">
      <c r="A114" s="78"/>
      <c r="B114" s="79"/>
      <c r="C114" s="805"/>
      <c r="D114" s="436">
        <v>45321</v>
      </c>
      <c r="E114" s="428" t="s">
        <v>50</v>
      </c>
      <c r="F114" s="524"/>
      <c r="G114" s="390">
        <v>45288</v>
      </c>
      <c r="H114" s="525"/>
      <c r="I114" s="468" t="s">
        <v>688</v>
      </c>
      <c r="J114" s="335" t="s">
        <v>310</v>
      </c>
      <c r="K114" s="443">
        <v>3</v>
      </c>
      <c r="L114" s="526"/>
      <c r="M114" s="137">
        <f t="shared" si="34"/>
        <v>3</v>
      </c>
      <c r="N114" s="442"/>
      <c r="O114" s="438"/>
      <c r="P114" s="137">
        <f t="shared" si="35"/>
        <v>3</v>
      </c>
    </row>
    <row r="115" spans="1:16" s="9" customFormat="1" ht="32.25" customHeight="1" x14ac:dyDescent="0.25">
      <c r="A115" s="78"/>
      <c r="B115" s="79"/>
      <c r="C115" s="805"/>
      <c r="D115" s="436">
        <v>45306</v>
      </c>
      <c r="E115" s="428" t="s">
        <v>50</v>
      </c>
      <c r="F115" s="524"/>
      <c r="G115" s="390">
        <v>45288</v>
      </c>
      <c r="H115" s="525"/>
      <c r="I115" s="468" t="s">
        <v>689</v>
      </c>
      <c r="J115" s="335" t="s">
        <v>311</v>
      </c>
      <c r="K115" s="443">
        <v>4</v>
      </c>
      <c r="L115" s="526"/>
      <c r="M115" s="137">
        <f t="shared" si="34"/>
        <v>4</v>
      </c>
      <c r="N115" s="442"/>
      <c r="O115" s="438"/>
      <c r="P115" s="137">
        <f t="shared" si="35"/>
        <v>4</v>
      </c>
    </row>
    <row r="116" spans="1:16" s="9" customFormat="1" ht="32.25" customHeight="1" x14ac:dyDescent="0.25">
      <c r="A116" s="78"/>
      <c r="B116" s="79"/>
      <c r="C116" s="805"/>
      <c r="D116" s="436">
        <v>45306</v>
      </c>
      <c r="E116" s="428" t="s">
        <v>50</v>
      </c>
      <c r="F116" s="524"/>
      <c r="G116" s="390">
        <v>45288</v>
      </c>
      <c r="H116" s="525"/>
      <c r="I116" s="468" t="s">
        <v>690</v>
      </c>
      <c r="J116" s="335" t="s">
        <v>311</v>
      </c>
      <c r="K116" s="443">
        <v>4</v>
      </c>
      <c r="L116" s="526"/>
      <c r="M116" s="137">
        <f t="shared" si="34"/>
        <v>4</v>
      </c>
      <c r="N116" s="442"/>
      <c r="O116" s="438"/>
      <c r="P116" s="137">
        <f t="shared" si="35"/>
        <v>4</v>
      </c>
    </row>
    <row r="117" spans="1:16" s="9" customFormat="1" ht="32.25" customHeight="1" x14ac:dyDescent="0.25">
      <c r="A117" s="78"/>
      <c r="B117" s="79"/>
      <c r="C117" s="805"/>
      <c r="D117" s="436">
        <v>45337</v>
      </c>
      <c r="E117" s="428" t="s">
        <v>50</v>
      </c>
      <c r="F117" s="524"/>
      <c r="G117" s="390">
        <v>45288</v>
      </c>
      <c r="H117" s="525"/>
      <c r="I117" s="468" t="s">
        <v>691</v>
      </c>
      <c r="J117" s="335" t="s">
        <v>311</v>
      </c>
      <c r="K117" s="443">
        <v>8</v>
      </c>
      <c r="L117" s="526"/>
      <c r="M117" s="137">
        <f t="shared" si="34"/>
        <v>8</v>
      </c>
      <c r="N117" s="442"/>
      <c r="O117" s="438"/>
      <c r="P117" s="137">
        <f t="shared" si="35"/>
        <v>8</v>
      </c>
    </row>
    <row r="118" spans="1:16" s="9" customFormat="1" ht="32.25" customHeight="1" x14ac:dyDescent="0.25">
      <c r="A118" s="78"/>
      <c r="B118" s="79"/>
      <c r="C118" s="805"/>
      <c r="D118" s="436">
        <v>45306</v>
      </c>
      <c r="E118" s="428" t="s">
        <v>50</v>
      </c>
      <c r="F118" s="524"/>
      <c r="G118" s="390">
        <v>45288</v>
      </c>
      <c r="H118" s="525"/>
      <c r="I118" s="468" t="s">
        <v>692</v>
      </c>
      <c r="J118" s="335" t="s">
        <v>102</v>
      </c>
      <c r="K118" s="443">
        <v>2</v>
      </c>
      <c r="L118" s="526"/>
      <c r="M118" s="137">
        <f t="shared" si="34"/>
        <v>2</v>
      </c>
      <c r="N118" s="442"/>
      <c r="O118" s="438"/>
      <c r="P118" s="137">
        <f t="shared" si="35"/>
        <v>2</v>
      </c>
    </row>
    <row r="119" spans="1:16" s="9" customFormat="1" ht="32.25" customHeight="1" x14ac:dyDescent="0.25">
      <c r="A119" s="78"/>
      <c r="B119" s="79"/>
      <c r="C119" s="805"/>
      <c r="D119" s="436">
        <v>45337</v>
      </c>
      <c r="E119" s="428" t="s">
        <v>50</v>
      </c>
      <c r="F119" s="524"/>
      <c r="G119" s="390">
        <v>45288</v>
      </c>
      <c r="H119" s="525"/>
      <c r="I119" s="468" t="s">
        <v>693</v>
      </c>
      <c r="J119" s="335" t="s">
        <v>102</v>
      </c>
      <c r="K119" s="443">
        <v>4</v>
      </c>
      <c r="L119" s="526"/>
      <c r="M119" s="137">
        <f t="shared" si="34"/>
        <v>4</v>
      </c>
      <c r="N119" s="442"/>
      <c r="O119" s="438"/>
      <c r="P119" s="137">
        <f t="shared" si="35"/>
        <v>4</v>
      </c>
    </row>
    <row r="120" spans="1:16" s="9" customFormat="1" ht="38.25" customHeight="1" x14ac:dyDescent="0.25">
      <c r="A120" s="78"/>
      <c r="B120" s="79"/>
      <c r="C120" s="805"/>
      <c r="D120" s="436">
        <v>45332</v>
      </c>
      <c r="E120" s="428" t="s">
        <v>50</v>
      </c>
      <c r="F120" s="524"/>
      <c r="G120" s="390">
        <v>45288</v>
      </c>
      <c r="H120" s="525"/>
      <c r="I120" s="468" t="s">
        <v>694</v>
      </c>
      <c r="J120" s="335" t="s">
        <v>317</v>
      </c>
      <c r="K120" s="443">
        <v>2</v>
      </c>
      <c r="L120" s="526"/>
      <c r="M120" s="137">
        <f t="shared" si="34"/>
        <v>2</v>
      </c>
      <c r="N120" s="442"/>
      <c r="O120" s="438"/>
      <c r="P120" s="137">
        <f t="shared" si="35"/>
        <v>2</v>
      </c>
    </row>
    <row r="121" spans="1:16" s="9" customFormat="1" ht="41.25" customHeight="1" x14ac:dyDescent="0.25">
      <c r="A121" s="78"/>
      <c r="B121" s="79"/>
      <c r="C121" s="807"/>
      <c r="D121" s="436">
        <v>45332</v>
      </c>
      <c r="E121" s="428" t="s">
        <v>50</v>
      </c>
      <c r="F121" s="524"/>
      <c r="G121" s="390">
        <v>45288</v>
      </c>
      <c r="H121" s="525"/>
      <c r="I121" s="468" t="s">
        <v>695</v>
      </c>
      <c r="J121" s="335" t="s">
        <v>318</v>
      </c>
      <c r="K121" s="443">
        <v>2</v>
      </c>
      <c r="L121" s="526"/>
      <c r="M121" s="137">
        <f t="shared" si="34"/>
        <v>2</v>
      </c>
      <c r="N121" s="442"/>
      <c r="O121" s="438"/>
      <c r="P121" s="137">
        <f t="shared" si="35"/>
        <v>2</v>
      </c>
    </row>
    <row r="122" spans="1:16" s="9" customFormat="1" ht="32.25" customHeight="1" x14ac:dyDescent="0.25">
      <c r="A122" s="78"/>
      <c r="B122" s="79"/>
      <c r="C122" s="804" t="s">
        <v>658</v>
      </c>
      <c r="D122" s="436">
        <v>45347</v>
      </c>
      <c r="E122" s="428" t="s">
        <v>50</v>
      </c>
      <c r="F122" s="524"/>
      <c r="G122" s="390">
        <v>45275</v>
      </c>
      <c r="H122" s="525"/>
      <c r="I122" s="468" t="s">
        <v>653</v>
      </c>
      <c r="J122" s="335" t="s">
        <v>315</v>
      </c>
      <c r="K122" s="443">
        <v>4</v>
      </c>
      <c r="L122" s="526"/>
      <c r="M122" s="137">
        <f t="shared" ref="M122:M126" si="36">K122</f>
        <v>4</v>
      </c>
      <c r="N122" s="442"/>
      <c r="O122" s="438"/>
      <c r="P122" s="137">
        <f t="shared" ref="P122:P126" si="37">M122-N122</f>
        <v>4</v>
      </c>
    </row>
    <row r="123" spans="1:16" s="9" customFormat="1" ht="66" x14ac:dyDescent="0.25">
      <c r="A123" s="78"/>
      <c r="B123" s="79"/>
      <c r="C123" s="805"/>
      <c r="D123" s="436">
        <v>45347</v>
      </c>
      <c r="E123" s="428" t="s">
        <v>50</v>
      </c>
      <c r="F123" s="524"/>
      <c r="G123" s="390">
        <v>45275</v>
      </c>
      <c r="H123" s="525"/>
      <c r="I123" s="468" t="s">
        <v>654</v>
      </c>
      <c r="J123" s="335" t="s">
        <v>350</v>
      </c>
      <c r="K123" s="443">
        <v>1</v>
      </c>
      <c r="L123" s="526"/>
      <c r="M123" s="137">
        <f t="shared" si="36"/>
        <v>1</v>
      </c>
      <c r="N123" s="442"/>
      <c r="O123" s="438"/>
      <c r="P123" s="137">
        <f t="shared" si="37"/>
        <v>1</v>
      </c>
    </row>
    <row r="124" spans="1:16" s="9" customFormat="1" ht="66" x14ac:dyDescent="0.25">
      <c r="A124" s="78"/>
      <c r="B124" s="79"/>
      <c r="C124" s="805"/>
      <c r="D124" s="436">
        <v>45347</v>
      </c>
      <c r="E124" s="428" t="s">
        <v>50</v>
      </c>
      <c r="F124" s="524"/>
      <c r="G124" s="390">
        <v>45275</v>
      </c>
      <c r="H124" s="525"/>
      <c r="I124" s="468" t="s">
        <v>655</v>
      </c>
      <c r="J124" s="335" t="s">
        <v>351</v>
      </c>
      <c r="K124" s="443">
        <v>1</v>
      </c>
      <c r="L124" s="526"/>
      <c r="M124" s="137">
        <f t="shared" si="36"/>
        <v>1</v>
      </c>
      <c r="N124" s="442"/>
      <c r="O124" s="438"/>
      <c r="P124" s="137">
        <f t="shared" si="37"/>
        <v>1</v>
      </c>
    </row>
    <row r="125" spans="1:16" s="9" customFormat="1" ht="52.8" x14ac:dyDescent="0.25">
      <c r="A125" s="78"/>
      <c r="B125" s="79"/>
      <c r="C125" s="805"/>
      <c r="D125" s="436">
        <v>45347</v>
      </c>
      <c r="E125" s="428" t="s">
        <v>50</v>
      </c>
      <c r="F125" s="524"/>
      <c r="G125" s="390">
        <v>45275</v>
      </c>
      <c r="H125" s="525"/>
      <c r="I125" s="468" t="s">
        <v>656</v>
      </c>
      <c r="J125" s="335" t="s">
        <v>352</v>
      </c>
      <c r="K125" s="443">
        <v>1</v>
      </c>
      <c r="L125" s="526"/>
      <c r="M125" s="137">
        <f t="shared" si="36"/>
        <v>1</v>
      </c>
      <c r="N125" s="442"/>
      <c r="O125" s="438"/>
      <c r="P125" s="137">
        <f t="shared" si="37"/>
        <v>1</v>
      </c>
    </row>
    <row r="126" spans="1:16" s="9" customFormat="1" ht="52.8" x14ac:dyDescent="0.25">
      <c r="A126" s="78"/>
      <c r="B126" s="79"/>
      <c r="C126" s="806"/>
      <c r="D126" s="436">
        <v>45347</v>
      </c>
      <c r="E126" s="428" t="s">
        <v>50</v>
      </c>
      <c r="F126" s="524"/>
      <c r="G126" s="390">
        <v>45275</v>
      </c>
      <c r="H126" s="525"/>
      <c r="I126" s="468" t="s">
        <v>657</v>
      </c>
      <c r="J126" s="335" t="s">
        <v>353</v>
      </c>
      <c r="K126" s="443">
        <v>1</v>
      </c>
      <c r="L126" s="526"/>
      <c r="M126" s="137">
        <f t="shared" si="36"/>
        <v>1</v>
      </c>
      <c r="N126" s="442"/>
      <c r="O126" s="438"/>
      <c r="P126" s="137">
        <f t="shared" si="37"/>
        <v>1</v>
      </c>
    </row>
    <row r="127" spans="1:16" s="56" customFormat="1" ht="15" x14ac:dyDescent="0.25">
      <c r="A127" s="41"/>
      <c r="B127" s="334" t="s">
        <v>275</v>
      </c>
      <c r="C127" s="368"/>
      <c r="D127" s="44"/>
      <c r="E127" s="45"/>
      <c r="F127" s="46"/>
      <c r="G127" s="47"/>
      <c r="H127" s="48"/>
      <c r="I127" s="49"/>
      <c r="J127" s="50"/>
      <c r="K127" s="51"/>
      <c r="L127" s="53"/>
      <c r="M127" s="54"/>
      <c r="N127" s="55"/>
      <c r="O127" s="53"/>
      <c r="P127" s="54"/>
    </row>
    <row r="128" spans="1:16" s="9" customFormat="1" ht="39.6" x14ac:dyDescent="0.25">
      <c r="A128" s="89"/>
      <c r="B128" s="379"/>
      <c r="C128" s="472" t="s">
        <v>276</v>
      </c>
      <c r="D128" s="455">
        <v>45204</v>
      </c>
      <c r="E128" s="428" t="s">
        <v>50</v>
      </c>
      <c r="F128" s="456"/>
      <c r="G128" s="83">
        <v>45082</v>
      </c>
      <c r="H128" s="457"/>
      <c r="I128" s="338" t="s">
        <v>277</v>
      </c>
      <c r="J128" s="335" t="s">
        <v>278</v>
      </c>
      <c r="K128" s="343">
        <v>1</v>
      </c>
      <c r="L128" s="458"/>
      <c r="M128" s="87">
        <v>1</v>
      </c>
      <c r="N128" s="449"/>
      <c r="O128" s="142"/>
      <c r="P128" s="137">
        <v>1</v>
      </c>
    </row>
    <row r="129" spans="1:17" s="56" customFormat="1" ht="18" customHeight="1" x14ac:dyDescent="0.25">
      <c r="A129" s="41"/>
      <c r="B129" s="330" t="s">
        <v>496</v>
      </c>
      <c r="C129" s="96"/>
      <c r="D129" s="44"/>
      <c r="E129" s="45"/>
      <c r="F129" s="46"/>
      <c r="G129" s="47"/>
      <c r="H129" s="48"/>
      <c r="I129" s="49"/>
      <c r="J129" s="50"/>
      <c r="K129" s="51"/>
      <c r="L129" s="53"/>
      <c r="M129" s="49"/>
      <c r="N129" s="55"/>
      <c r="O129" s="53"/>
      <c r="P129" s="54"/>
      <c r="Q129" s="424"/>
    </row>
    <row r="130" spans="1:17" s="9" customFormat="1" ht="26.4" x14ac:dyDescent="0.25">
      <c r="A130" s="89"/>
      <c r="B130" s="379"/>
      <c r="C130" s="472" t="s">
        <v>511</v>
      </c>
      <c r="D130" s="455">
        <v>45289</v>
      </c>
      <c r="E130" s="428" t="s">
        <v>91</v>
      </c>
      <c r="F130" s="517" t="s">
        <v>594</v>
      </c>
      <c r="G130" s="83">
        <v>45230</v>
      </c>
      <c r="H130" s="457"/>
      <c r="I130" s="338" t="s">
        <v>513</v>
      </c>
      <c r="J130" s="335" t="s">
        <v>512</v>
      </c>
      <c r="K130" s="343">
        <v>2</v>
      </c>
      <c r="L130" s="458"/>
      <c r="M130" s="87">
        <v>2</v>
      </c>
      <c r="N130" s="449"/>
      <c r="O130" s="142"/>
      <c r="P130" s="137">
        <v>2</v>
      </c>
    </row>
    <row r="131" spans="1:17" s="56" customFormat="1" ht="15" x14ac:dyDescent="0.25">
      <c r="A131" s="41"/>
      <c r="B131" s="369" t="s">
        <v>467</v>
      </c>
      <c r="C131" s="368"/>
      <c r="D131" s="44"/>
      <c r="E131" s="45"/>
      <c r="F131" s="46"/>
      <c r="G131" s="47"/>
      <c r="H131" s="48"/>
      <c r="I131" s="49"/>
      <c r="J131" s="50"/>
      <c r="K131" s="51"/>
      <c r="L131" s="53"/>
      <c r="M131" s="54"/>
      <c r="N131" s="55"/>
      <c r="O131" s="53"/>
      <c r="P131" s="54"/>
    </row>
    <row r="132" spans="1:17" s="9" customFormat="1" ht="33.75" customHeight="1" x14ac:dyDescent="0.25">
      <c r="A132" s="89"/>
      <c r="B132" s="379"/>
      <c r="C132" s="795" t="s">
        <v>578</v>
      </c>
      <c r="D132" s="455">
        <v>45371</v>
      </c>
      <c r="E132" s="428" t="s">
        <v>50</v>
      </c>
      <c r="F132" s="456"/>
      <c r="G132" s="83">
        <v>45251</v>
      </c>
      <c r="H132" s="457"/>
      <c r="I132" s="338" t="s">
        <v>579</v>
      </c>
      <c r="J132" s="335" t="s">
        <v>580</v>
      </c>
      <c r="K132" s="443">
        <v>4</v>
      </c>
      <c r="L132" s="458"/>
      <c r="M132" s="137">
        <f t="shared" ref="M132:M133" si="38">K132</f>
        <v>4</v>
      </c>
      <c r="N132" s="433"/>
      <c r="O132" s="438"/>
      <c r="P132" s="87">
        <f t="shared" ref="P132:P133" si="39">M132-N132</f>
        <v>4</v>
      </c>
    </row>
    <row r="133" spans="1:17" s="9" customFormat="1" ht="33.75" customHeight="1" x14ac:dyDescent="0.25">
      <c r="A133" s="89"/>
      <c r="B133" s="379"/>
      <c r="C133" s="796"/>
      <c r="D133" s="455">
        <v>45321</v>
      </c>
      <c r="E133" s="428" t="s">
        <v>50</v>
      </c>
      <c r="F133" s="456"/>
      <c r="G133" s="83">
        <v>45251</v>
      </c>
      <c r="H133" s="457"/>
      <c r="I133" s="338" t="s">
        <v>581</v>
      </c>
      <c r="J133" s="335" t="s">
        <v>582</v>
      </c>
      <c r="K133" s="443">
        <v>10</v>
      </c>
      <c r="L133" s="458"/>
      <c r="M133" s="137">
        <f t="shared" si="38"/>
        <v>10</v>
      </c>
      <c r="N133" s="433"/>
      <c r="O133" s="438"/>
      <c r="P133" s="87">
        <f t="shared" si="39"/>
        <v>10</v>
      </c>
    </row>
    <row r="134" spans="1:17" s="9" customFormat="1" ht="17.25" customHeight="1" x14ac:dyDescent="0.25">
      <c r="A134" s="97"/>
      <c r="B134" s="334" t="s">
        <v>53</v>
      </c>
      <c r="C134" s="96"/>
      <c r="D134" s="98"/>
      <c r="E134" s="99"/>
      <c r="F134" s="569">
        <f>SUM(F135:F163)</f>
        <v>0</v>
      </c>
      <c r="G134" s="101"/>
      <c r="H134" s="102"/>
      <c r="I134" s="103"/>
      <c r="J134" s="105"/>
      <c r="K134" s="106"/>
      <c r="L134" s="53"/>
      <c r="M134" s="54"/>
      <c r="N134" s="55"/>
      <c r="O134" s="53"/>
      <c r="P134" s="54"/>
    </row>
    <row r="135" spans="1:17" s="9" customFormat="1" ht="33.75" customHeight="1" x14ac:dyDescent="0.25">
      <c r="A135" s="89"/>
      <c r="B135" s="379"/>
      <c r="C135" s="510" t="s">
        <v>156</v>
      </c>
      <c r="D135" s="455">
        <v>45016</v>
      </c>
      <c r="E135" s="428" t="s">
        <v>50</v>
      </c>
      <c r="F135" s="456"/>
      <c r="G135" s="83">
        <v>44911</v>
      </c>
      <c r="H135" s="457"/>
      <c r="I135" s="338" t="s">
        <v>155</v>
      </c>
      <c r="J135" s="335" t="s">
        <v>154</v>
      </c>
      <c r="K135" s="443">
        <v>5</v>
      </c>
      <c r="L135" s="458"/>
      <c r="M135" s="137">
        <f t="shared" ref="M135:M185" si="40">K135</f>
        <v>5</v>
      </c>
      <c r="N135" s="433"/>
      <c r="O135" s="438"/>
      <c r="P135" s="87">
        <f t="shared" ref="P135:P185" si="41">M135-N135</f>
        <v>5</v>
      </c>
    </row>
    <row r="136" spans="1:17" s="9" customFormat="1" ht="33.75" customHeight="1" x14ac:dyDescent="0.25">
      <c r="A136" s="89"/>
      <c r="B136" s="379"/>
      <c r="C136" s="534" t="s">
        <v>158</v>
      </c>
      <c r="D136" s="455">
        <v>45066</v>
      </c>
      <c r="E136" s="428" t="s">
        <v>50</v>
      </c>
      <c r="F136" s="456"/>
      <c r="G136" s="83">
        <v>44907</v>
      </c>
      <c r="H136" s="457"/>
      <c r="I136" s="338" t="s">
        <v>157</v>
      </c>
      <c r="J136" s="335" t="s">
        <v>154</v>
      </c>
      <c r="K136" s="443">
        <v>15</v>
      </c>
      <c r="L136" s="458"/>
      <c r="M136" s="137">
        <f t="shared" si="40"/>
        <v>15</v>
      </c>
      <c r="N136" s="433"/>
      <c r="O136" s="438"/>
      <c r="P136" s="87">
        <f t="shared" si="41"/>
        <v>15</v>
      </c>
    </row>
    <row r="137" spans="1:17" s="9" customFormat="1" ht="32.25" customHeight="1" x14ac:dyDescent="0.25">
      <c r="A137" s="89"/>
      <c r="B137" s="379"/>
      <c r="C137" s="514"/>
      <c r="D137" s="455" t="s">
        <v>212</v>
      </c>
      <c r="E137" s="428" t="s">
        <v>50</v>
      </c>
      <c r="F137" s="456"/>
      <c r="G137" s="83">
        <v>44956</v>
      </c>
      <c r="H137" s="457"/>
      <c r="I137" s="338" t="s">
        <v>213</v>
      </c>
      <c r="J137" s="335" t="s">
        <v>211</v>
      </c>
      <c r="K137" s="443">
        <v>1</v>
      </c>
      <c r="L137" s="458"/>
      <c r="M137" s="137">
        <f t="shared" si="40"/>
        <v>1</v>
      </c>
      <c r="N137" s="433"/>
      <c r="O137" s="438"/>
      <c r="P137" s="87">
        <f t="shared" si="41"/>
        <v>1</v>
      </c>
    </row>
    <row r="138" spans="1:17" s="9" customFormat="1" ht="32.25" customHeight="1" x14ac:dyDescent="0.25">
      <c r="A138" s="89"/>
      <c r="B138" s="379"/>
      <c r="C138" s="514" t="s">
        <v>215</v>
      </c>
      <c r="D138" s="455">
        <v>45046</v>
      </c>
      <c r="E138" s="428" t="s">
        <v>50</v>
      </c>
      <c r="F138" s="456"/>
      <c r="G138" s="83">
        <v>44970</v>
      </c>
      <c r="H138" s="457"/>
      <c r="I138" s="338" t="s">
        <v>214</v>
      </c>
      <c r="J138" s="335" t="s">
        <v>126</v>
      </c>
      <c r="K138" s="443">
        <v>1</v>
      </c>
      <c r="L138" s="458"/>
      <c r="M138" s="137">
        <f t="shared" si="40"/>
        <v>1</v>
      </c>
      <c r="N138" s="433"/>
      <c r="O138" s="438"/>
      <c r="P138" s="87">
        <f t="shared" si="41"/>
        <v>1</v>
      </c>
    </row>
    <row r="139" spans="1:17" s="9" customFormat="1" ht="32.25" customHeight="1" x14ac:dyDescent="0.25">
      <c r="A139" s="89"/>
      <c r="B139" s="379"/>
      <c r="C139" s="514" t="s">
        <v>225</v>
      </c>
      <c r="D139" s="455">
        <v>45155</v>
      </c>
      <c r="E139" s="428" t="s">
        <v>50</v>
      </c>
      <c r="F139" s="456"/>
      <c r="G139" s="83">
        <v>45002</v>
      </c>
      <c r="H139" s="457"/>
      <c r="I139" s="338" t="s">
        <v>224</v>
      </c>
      <c r="J139" s="335" t="s">
        <v>223</v>
      </c>
      <c r="K139" s="443">
        <v>88</v>
      </c>
      <c r="L139" s="458"/>
      <c r="M139" s="137">
        <f t="shared" si="40"/>
        <v>88</v>
      </c>
      <c r="N139" s="433"/>
      <c r="O139" s="438"/>
      <c r="P139" s="87">
        <f t="shared" si="41"/>
        <v>88</v>
      </c>
    </row>
    <row r="140" spans="1:17" s="9" customFormat="1" ht="35.25" customHeight="1" x14ac:dyDescent="0.25">
      <c r="A140" s="89"/>
      <c r="B140" s="379"/>
      <c r="C140" s="514" t="s">
        <v>234</v>
      </c>
      <c r="D140" s="455">
        <v>45211</v>
      </c>
      <c r="E140" s="428" t="s">
        <v>50</v>
      </c>
      <c r="F140" s="456"/>
      <c r="G140" s="83">
        <v>45028</v>
      </c>
      <c r="H140" s="457"/>
      <c r="I140" s="338" t="s">
        <v>233</v>
      </c>
      <c r="J140" s="335" t="s">
        <v>232</v>
      </c>
      <c r="K140" s="443">
        <v>1</v>
      </c>
      <c r="L140" s="458"/>
      <c r="M140" s="137">
        <f t="shared" si="40"/>
        <v>1</v>
      </c>
      <c r="N140" s="433"/>
      <c r="O140" s="438"/>
      <c r="P140" s="87">
        <f t="shared" si="41"/>
        <v>1</v>
      </c>
    </row>
    <row r="141" spans="1:17" s="9" customFormat="1" ht="35.25" customHeight="1" x14ac:dyDescent="0.25">
      <c r="A141" s="89"/>
      <c r="B141" s="379"/>
      <c r="C141" s="514" t="s">
        <v>344</v>
      </c>
      <c r="D141" s="455">
        <v>45260</v>
      </c>
      <c r="E141" s="428" t="s">
        <v>60</v>
      </c>
      <c r="F141" s="456"/>
      <c r="G141" s="83">
        <v>45132</v>
      </c>
      <c r="H141" s="457"/>
      <c r="I141" s="338" t="s">
        <v>345</v>
      </c>
      <c r="J141" s="335" t="s">
        <v>343</v>
      </c>
      <c r="K141" s="443">
        <v>1</v>
      </c>
      <c r="L141" s="458"/>
      <c r="M141" s="137">
        <f t="shared" si="40"/>
        <v>1</v>
      </c>
      <c r="N141" s="433"/>
      <c r="O141" s="438"/>
      <c r="P141" s="87">
        <f t="shared" si="41"/>
        <v>1</v>
      </c>
    </row>
    <row r="142" spans="1:17" s="9" customFormat="1" ht="29.25" customHeight="1" x14ac:dyDescent="0.25">
      <c r="A142" s="89"/>
      <c r="B142" s="379"/>
      <c r="C142" s="509"/>
      <c r="D142" s="455">
        <v>45209</v>
      </c>
      <c r="E142" s="428" t="s">
        <v>50</v>
      </c>
      <c r="F142" s="520"/>
      <c r="G142" s="83">
        <v>45086</v>
      </c>
      <c r="H142" s="457"/>
      <c r="I142" s="338" t="s">
        <v>291</v>
      </c>
      <c r="J142" s="335" t="s">
        <v>290</v>
      </c>
      <c r="K142" s="443">
        <v>6</v>
      </c>
      <c r="L142" s="458"/>
      <c r="M142" s="137">
        <f t="shared" si="40"/>
        <v>6</v>
      </c>
      <c r="N142" s="433">
        <f>2+2+2</f>
        <v>6</v>
      </c>
      <c r="O142" s="438"/>
      <c r="P142" s="87">
        <f t="shared" si="41"/>
        <v>0</v>
      </c>
    </row>
    <row r="143" spans="1:17" s="9" customFormat="1" ht="29.25" customHeight="1" x14ac:dyDescent="0.25">
      <c r="A143" s="89"/>
      <c r="B143" s="379"/>
      <c r="C143" s="509" t="s">
        <v>304</v>
      </c>
      <c r="D143" s="455">
        <v>45283</v>
      </c>
      <c r="E143" s="428" t="s">
        <v>50</v>
      </c>
      <c r="F143" s="520"/>
      <c r="G143" s="83">
        <v>45100</v>
      </c>
      <c r="H143" s="457"/>
      <c r="I143" s="338" t="s">
        <v>306</v>
      </c>
      <c r="J143" s="335" t="s">
        <v>305</v>
      </c>
      <c r="K143" s="443">
        <v>1</v>
      </c>
      <c r="L143" s="458"/>
      <c r="M143" s="137">
        <f t="shared" si="40"/>
        <v>1</v>
      </c>
      <c r="N143" s="433"/>
      <c r="O143" s="438"/>
      <c r="P143" s="87">
        <f t="shared" si="41"/>
        <v>1</v>
      </c>
    </row>
    <row r="144" spans="1:17" s="9" customFormat="1" ht="36" customHeight="1" x14ac:dyDescent="0.25">
      <c r="A144" s="89"/>
      <c r="B144" s="379"/>
      <c r="C144" s="510" t="s">
        <v>323</v>
      </c>
      <c r="D144" s="455">
        <v>45266</v>
      </c>
      <c r="E144" s="428" t="s">
        <v>50</v>
      </c>
      <c r="F144" s="520"/>
      <c r="G144" s="83">
        <v>45113</v>
      </c>
      <c r="H144" s="457"/>
      <c r="I144" s="338" t="s">
        <v>324</v>
      </c>
      <c r="J144" s="335" t="s">
        <v>322</v>
      </c>
      <c r="K144" s="443">
        <v>2</v>
      </c>
      <c r="L144" s="458"/>
      <c r="M144" s="137">
        <f t="shared" si="40"/>
        <v>2</v>
      </c>
      <c r="N144" s="433"/>
      <c r="O144" s="438"/>
      <c r="P144" s="87">
        <f t="shared" si="41"/>
        <v>2</v>
      </c>
    </row>
    <row r="145" spans="1:18" s="9" customFormat="1" ht="36" customHeight="1" x14ac:dyDescent="0.25">
      <c r="A145" s="89"/>
      <c r="B145" s="379"/>
      <c r="C145" s="510" t="s">
        <v>325</v>
      </c>
      <c r="D145" s="455">
        <v>45285</v>
      </c>
      <c r="E145" s="428" t="s">
        <v>50</v>
      </c>
      <c r="F145" s="520"/>
      <c r="G145" s="83">
        <v>45117</v>
      </c>
      <c r="H145" s="457"/>
      <c r="I145" s="338" t="s">
        <v>326</v>
      </c>
      <c r="J145" s="335" t="s">
        <v>290</v>
      </c>
      <c r="K145" s="443">
        <v>6</v>
      </c>
      <c r="L145" s="458"/>
      <c r="M145" s="137">
        <f t="shared" si="40"/>
        <v>6</v>
      </c>
      <c r="N145" s="433">
        <v>3</v>
      </c>
      <c r="O145" s="438"/>
      <c r="P145" s="87">
        <f t="shared" si="41"/>
        <v>3</v>
      </c>
    </row>
    <row r="146" spans="1:18" s="9" customFormat="1" ht="36" customHeight="1" x14ac:dyDescent="0.25">
      <c r="A146" s="89"/>
      <c r="B146" s="379"/>
      <c r="C146" s="510" t="s">
        <v>328</v>
      </c>
      <c r="D146" s="455">
        <v>45255</v>
      </c>
      <c r="E146" s="428" t="s">
        <v>50</v>
      </c>
      <c r="F146" s="520"/>
      <c r="G146" s="83">
        <v>45118</v>
      </c>
      <c r="H146" s="457"/>
      <c r="I146" s="338" t="s">
        <v>329</v>
      </c>
      <c r="J146" s="335" t="s">
        <v>290</v>
      </c>
      <c r="K146" s="443">
        <v>6</v>
      </c>
      <c r="L146" s="458"/>
      <c r="M146" s="137">
        <f t="shared" si="40"/>
        <v>6</v>
      </c>
      <c r="N146" s="433"/>
      <c r="O146" s="438"/>
      <c r="P146" s="87">
        <f t="shared" si="41"/>
        <v>6</v>
      </c>
    </row>
    <row r="147" spans="1:18" s="9" customFormat="1" ht="36" customHeight="1" x14ac:dyDescent="0.25">
      <c r="A147" s="89"/>
      <c r="B147" s="379"/>
      <c r="C147" s="510" t="s">
        <v>330</v>
      </c>
      <c r="D147" s="455">
        <v>45277</v>
      </c>
      <c r="E147" s="428" t="s">
        <v>50</v>
      </c>
      <c r="F147" s="520"/>
      <c r="G147" s="83">
        <v>45124</v>
      </c>
      <c r="H147" s="457"/>
      <c r="I147" s="338" t="s">
        <v>332</v>
      </c>
      <c r="J147" s="335" t="s">
        <v>331</v>
      </c>
      <c r="K147" s="443">
        <v>2</v>
      </c>
      <c r="L147" s="458"/>
      <c r="M147" s="137">
        <f t="shared" si="40"/>
        <v>2</v>
      </c>
      <c r="N147" s="433"/>
      <c r="O147" s="438"/>
      <c r="P147" s="87">
        <f t="shared" si="41"/>
        <v>2</v>
      </c>
    </row>
    <row r="148" spans="1:18" s="9" customFormat="1" ht="28.5" customHeight="1" x14ac:dyDescent="0.25">
      <c r="A148" s="89"/>
      <c r="B148" s="379"/>
      <c r="C148" s="510" t="s">
        <v>330</v>
      </c>
      <c r="D148" s="455">
        <v>45277</v>
      </c>
      <c r="E148" s="428" t="s">
        <v>50</v>
      </c>
      <c r="F148" s="520"/>
      <c r="G148" s="83">
        <v>45124</v>
      </c>
      <c r="H148" s="457"/>
      <c r="I148" s="338" t="s">
        <v>333</v>
      </c>
      <c r="J148" s="335" t="s">
        <v>168</v>
      </c>
      <c r="K148" s="443">
        <v>1</v>
      </c>
      <c r="L148" s="458"/>
      <c r="M148" s="137">
        <f t="shared" si="40"/>
        <v>1</v>
      </c>
      <c r="N148" s="433"/>
      <c r="O148" s="438"/>
      <c r="P148" s="87">
        <f t="shared" si="41"/>
        <v>1</v>
      </c>
      <c r="R148" s="1" t="s">
        <v>1</v>
      </c>
    </row>
    <row r="149" spans="1:18" s="9" customFormat="1" ht="28.5" customHeight="1" x14ac:dyDescent="0.25">
      <c r="A149" s="89"/>
      <c r="B149" s="379"/>
      <c r="C149" s="810" t="s">
        <v>334</v>
      </c>
      <c r="D149" s="455">
        <v>45278</v>
      </c>
      <c r="E149" s="428" t="s">
        <v>50</v>
      </c>
      <c r="F149" s="520"/>
      <c r="G149" s="83">
        <v>45124</v>
      </c>
      <c r="H149" s="457"/>
      <c r="I149" s="338" t="s">
        <v>337</v>
      </c>
      <c r="J149" s="335" t="s">
        <v>335</v>
      </c>
      <c r="K149" s="443">
        <v>1</v>
      </c>
      <c r="L149" s="458"/>
      <c r="M149" s="137">
        <f t="shared" si="40"/>
        <v>1</v>
      </c>
      <c r="N149" s="433"/>
      <c r="O149" s="438"/>
      <c r="P149" s="87">
        <f t="shared" si="41"/>
        <v>1</v>
      </c>
    </row>
    <row r="150" spans="1:18" s="9" customFormat="1" ht="28.5" customHeight="1" x14ac:dyDescent="0.25">
      <c r="A150" s="89"/>
      <c r="B150" s="379"/>
      <c r="C150" s="811"/>
      <c r="D150" s="455">
        <v>45278</v>
      </c>
      <c r="E150" s="428" t="s">
        <v>50</v>
      </c>
      <c r="F150" s="520"/>
      <c r="G150" s="83">
        <v>45124</v>
      </c>
      <c r="H150" s="457"/>
      <c r="I150" s="338" t="s">
        <v>338</v>
      </c>
      <c r="J150" s="335" t="s">
        <v>227</v>
      </c>
      <c r="K150" s="443">
        <v>1</v>
      </c>
      <c r="L150" s="458"/>
      <c r="M150" s="137">
        <f t="shared" si="40"/>
        <v>1</v>
      </c>
      <c r="N150" s="433"/>
      <c r="O150" s="438"/>
      <c r="P150" s="87">
        <f t="shared" si="41"/>
        <v>1</v>
      </c>
    </row>
    <row r="151" spans="1:18" s="9" customFormat="1" ht="39" customHeight="1" x14ac:dyDescent="0.25">
      <c r="A151" s="89"/>
      <c r="B151" s="379"/>
      <c r="C151" s="510" t="s">
        <v>341</v>
      </c>
      <c r="D151" s="455">
        <v>45278</v>
      </c>
      <c r="E151" s="428" t="s">
        <v>50</v>
      </c>
      <c r="F151" s="520"/>
      <c r="G151" s="83">
        <v>45126</v>
      </c>
      <c r="H151" s="457"/>
      <c r="I151" s="338" t="s">
        <v>340</v>
      </c>
      <c r="J151" s="335" t="s">
        <v>339</v>
      </c>
      <c r="K151" s="443">
        <v>2</v>
      </c>
      <c r="L151" s="458"/>
      <c r="M151" s="137">
        <f t="shared" si="40"/>
        <v>2</v>
      </c>
      <c r="N151" s="433"/>
      <c r="O151" s="438"/>
      <c r="P151" s="87">
        <f t="shared" si="41"/>
        <v>2</v>
      </c>
    </row>
    <row r="152" spans="1:18" s="9" customFormat="1" ht="39" customHeight="1" x14ac:dyDescent="0.25">
      <c r="A152" s="89"/>
      <c r="B152" s="379"/>
      <c r="C152" s="812" t="s">
        <v>344</v>
      </c>
      <c r="D152" s="455">
        <v>45316</v>
      </c>
      <c r="E152" s="428" t="s">
        <v>50</v>
      </c>
      <c r="F152" s="520"/>
      <c r="G152" s="83">
        <v>45142</v>
      </c>
      <c r="H152" s="457"/>
      <c r="I152" s="338" t="s">
        <v>358</v>
      </c>
      <c r="J152" s="335" t="s">
        <v>354</v>
      </c>
      <c r="K152" s="443">
        <v>4</v>
      </c>
      <c r="L152" s="458"/>
      <c r="M152" s="137">
        <f t="shared" si="40"/>
        <v>4</v>
      </c>
      <c r="N152" s="433"/>
      <c r="O152" s="438"/>
      <c r="P152" s="87">
        <f t="shared" si="41"/>
        <v>4</v>
      </c>
    </row>
    <row r="153" spans="1:18" s="9" customFormat="1" ht="39" customHeight="1" x14ac:dyDescent="0.25">
      <c r="A153" s="89"/>
      <c r="B153" s="379"/>
      <c r="C153" s="812"/>
      <c r="D153" s="455">
        <v>45316</v>
      </c>
      <c r="E153" s="428" t="s">
        <v>50</v>
      </c>
      <c r="F153" s="520"/>
      <c r="G153" s="83">
        <v>45142</v>
      </c>
      <c r="H153" s="457"/>
      <c r="I153" s="338" t="s">
        <v>359</v>
      </c>
      <c r="J153" s="335" t="s">
        <v>355</v>
      </c>
      <c r="K153" s="443">
        <v>6</v>
      </c>
      <c r="L153" s="458"/>
      <c r="M153" s="137">
        <f t="shared" si="40"/>
        <v>6</v>
      </c>
      <c r="N153" s="433"/>
      <c r="O153" s="438"/>
      <c r="P153" s="87">
        <f t="shared" si="41"/>
        <v>6</v>
      </c>
    </row>
    <row r="154" spans="1:18" s="9" customFormat="1" ht="39" customHeight="1" x14ac:dyDescent="0.25">
      <c r="A154" s="89"/>
      <c r="B154" s="379"/>
      <c r="C154" s="514" t="s">
        <v>356</v>
      </c>
      <c r="D154" s="455">
        <v>45316</v>
      </c>
      <c r="E154" s="428" t="s">
        <v>50</v>
      </c>
      <c r="F154" s="577"/>
      <c r="G154" s="83">
        <v>45142</v>
      </c>
      <c r="H154" s="457"/>
      <c r="I154" s="338" t="s">
        <v>357</v>
      </c>
      <c r="J154" s="335" t="s">
        <v>336</v>
      </c>
      <c r="K154" s="443">
        <v>4</v>
      </c>
      <c r="L154" s="458"/>
      <c r="M154" s="137">
        <f t="shared" si="40"/>
        <v>4</v>
      </c>
      <c r="N154" s="433"/>
      <c r="O154" s="438"/>
      <c r="P154" s="87">
        <f t="shared" si="41"/>
        <v>4</v>
      </c>
    </row>
    <row r="155" spans="1:18" s="9" customFormat="1" ht="33" customHeight="1" x14ac:dyDescent="0.25">
      <c r="A155" s="89"/>
      <c r="B155" s="379"/>
      <c r="C155" s="810" t="s">
        <v>380</v>
      </c>
      <c r="D155" s="455">
        <v>45276</v>
      </c>
      <c r="E155" s="428" t="s">
        <v>50</v>
      </c>
      <c r="F155" s="520"/>
      <c r="G155" s="83">
        <v>45154</v>
      </c>
      <c r="H155" s="457"/>
      <c r="I155" s="338" t="s">
        <v>376</v>
      </c>
      <c r="J155" s="335" t="s">
        <v>372</v>
      </c>
      <c r="K155" s="443">
        <v>1</v>
      </c>
      <c r="L155" s="458"/>
      <c r="M155" s="137">
        <f t="shared" si="40"/>
        <v>1</v>
      </c>
      <c r="N155" s="433"/>
      <c r="O155" s="438"/>
      <c r="P155" s="87">
        <f t="shared" si="41"/>
        <v>1</v>
      </c>
    </row>
    <row r="156" spans="1:18" s="9" customFormat="1" ht="33" customHeight="1" x14ac:dyDescent="0.25">
      <c r="A156" s="89"/>
      <c r="B156" s="379"/>
      <c r="C156" s="813"/>
      <c r="D156" s="455">
        <v>45276</v>
      </c>
      <c r="E156" s="428" t="s">
        <v>50</v>
      </c>
      <c r="F156" s="520"/>
      <c r="G156" s="83">
        <v>45154</v>
      </c>
      <c r="H156" s="457"/>
      <c r="I156" s="338" t="s">
        <v>377</v>
      </c>
      <c r="J156" s="335" t="s">
        <v>373</v>
      </c>
      <c r="K156" s="443">
        <v>1</v>
      </c>
      <c r="L156" s="458"/>
      <c r="M156" s="137">
        <f t="shared" si="40"/>
        <v>1</v>
      </c>
      <c r="N156" s="433"/>
      <c r="O156" s="438"/>
      <c r="P156" s="87">
        <f t="shared" si="41"/>
        <v>1</v>
      </c>
    </row>
    <row r="157" spans="1:18" s="9" customFormat="1" ht="33" customHeight="1" x14ac:dyDescent="0.25">
      <c r="A157" s="89"/>
      <c r="B157" s="379"/>
      <c r="C157" s="811"/>
      <c r="D157" s="455">
        <v>45276</v>
      </c>
      <c r="E157" s="428" t="s">
        <v>50</v>
      </c>
      <c r="F157" s="520"/>
      <c r="G157" s="83">
        <v>45154</v>
      </c>
      <c r="H157" s="457"/>
      <c r="I157" s="338" t="s">
        <v>378</v>
      </c>
      <c r="J157" s="335" t="s">
        <v>374</v>
      </c>
      <c r="K157" s="443">
        <v>2</v>
      </c>
      <c r="L157" s="458"/>
      <c r="M157" s="137">
        <f t="shared" si="40"/>
        <v>2</v>
      </c>
      <c r="N157" s="433"/>
      <c r="O157" s="438"/>
      <c r="P157" s="87">
        <f t="shared" si="41"/>
        <v>2</v>
      </c>
    </row>
    <row r="158" spans="1:18" s="9" customFormat="1" ht="33" customHeight="1" x14ac:dyDescent="0.25">
      <c r="A158" s="89"/>
      <c r="B158" s="379"/>
      <c r="C158" s="554" t="s">
        <v>381</v>
      </c>
      <c r="D158" s="455">
        <v>45276</v>
      </c>
      <c r="E158" s="428" t="s">
        <v>50</v>
      </c>
      <c r="F158" s="520"/>
      <c r="G158" s="83">
        <v>45154</v>
      </c>
      <c r="H158" s="457"/>
      <c r="I158" s="338" t="s">
        <v>379</v>
      </c>
      <c r="J158" s="335" t="s">
        <v>375</v>
      </c>
      <c r="K158" s="443">
        <v>1</v>
      </c>
      <c r="L158" s="458"/>
      <c r="M158" s="137">
        <f t="shared" si="40"/>
        <v>1</v>
      </c>
      <c r="N158" s="433"/>
      <c r="O158" s="438"/>
      <c r="P158" s="87">
        <f t="shared" si="41"/>
        <v>1</v>
      </c>
    </row>
    <row r="159" spans="1:18" s="9" customFormat="1" ht="32.25" customHeight="1" x14ac:dyDescent="0.25">
      <c r="A159" s="89"/>
      <c r="B159" s="379"/>
      <c r="C159" s="514"/>
      <c r="D159" s="455">
        <v>44941</v>
      </c>
      <c r="E159" s="428" t="s">
        <v>50</v>
      </c>
      <c r="F159" s="456"/>
      <c r="G159" s="83">
        <v>44921</v>
      </c>
      <c r="H159" s="457"/>
      <c r="I159" s="338" t="s">
        <v>160</v>
      </c>
      <c r="J159" s="335" t="s">
        <v>159</v>
      </c>
      <c r="K159" s="443">
        <v>1</v>
      </c>
      <c r="L159" s="458"/>
      <c r="M159" s="137">
        <f>K159</f>
        <v>1</v>
      </c>
      <c r="N159" s="433"/>
      <c r="O159" s="438"/>
      <c r="P159" s="87">
        <f>M159-N159</f>
        <v>1</v>
      </c>
    </row>
    <row r="160" spans="1:18" s="9" customFormat="1" ht="36.75" customHeight="1" x14ac:dyDescent="0.25">
      <c r="A160" s="89"/>
      <c r="B160" s="379"/>
      <c r="C160" s="509"/>
      <c r="D160" s="455" t="s">
        <v>216</v>
      </c>
      <c r="E160" s="428" t="s">
        <v>50</v>
      </c>
      <c r="F160" s="571" t="s">
        <v>493</v>
      </c>
      <c r="G160" s="83">
        <v>44994</v>
      </c>
      <c r="H160" s="457"/>
      <c r="I160" s="338" t="s">
        <v>217</v>
      </c>
      <c r="J160" s="335" t="s">
        <v>218</v>
      </c>
      <c r="K160" s="443">
        <f>24-2-4</f>
        <v>18</v>
      </c>
      <c r="L160" s="458"/>
      <c r="M160" s="137">
        <f>K160</f>
        <v>18</v>
      </c>
      <c r="N160" s="433"/>
      <c r="O160" s="438"/>
      <c r="P160" s="87">
        <f>M160-N160</f>
        <v>18</v>
      </c>
    </row>
    <row r="161" spans="1:16" s="9" customFormat="1" ht="26.4" x14ac:dyDescent="0.25">
      <c r="A161" s="89"/>
      <c r="B161" s="379"/>
      <c r="C161" s="813"/>
      <c r="D161" s="455"/>
      <c r="E161" s="428" t="s">
        <v>50</v>
      </c>
      <c r="F161" s="456"/>
      <c r="G161" s="83">
        <v>44922</v>
      </c>
      <c r="H161" s="457"/>
      <c r="I161" s="338" t="s">
        <v>164</v>
      </c>
      <c r="J161" s="335" t="s">
        <v>161</v>
      </c>
      <c r="K161" s="443">
        <v>1</v>
      </c>
      <c r="L161" s="458">
        <v>1</v>
      </c>
      <c r="M161" s="137">
        <f t="shared" si="40"/>
        <v>1</v>
      </c>
      <c r="N161" s="433"/>
      <c r="O161" s="438"/>
      <c r="P161" s="87">
        <f t="shared" si="41"/>
        <v>1</v>
      </c>
    </row>
    <row r="162" spans="1:16" s="9" customFormat="1" ht="26.4" x14ac:dyDescent="0.25">
      <c r="A162" s="89"/>
      <c r="B162" s="379"/>
      <c r="C162" s="813"/>
      <c r="D162" s="455"/>
      <c r="E162" s="428" t="s">
        <v>50</v>
      </c>
      <c r="F162" s="456"/>
      <c r="G162" s="83">
        <v>44922</v>
      </c>
      <c r="H162" s="457"/>
      <c r="I162" s="338" t="s">
        <v>165</v>
      </c>
      <c r="J162" s="335" t="s">
        <v>162</v>
      </c>
      <c r="K162" s="443">
        <v>1</v>
      </c>
      <c r="L162" s="458">
        <v>1</v>
      </c>
      <c r="M162" s="137">
        <f t="shared" si="40"/>
        <v>1</v>
      </c>
      <c r="N162" s="433"/>
      <c r="O162" s="438"/>
      <c r="P162" s="87">
        <f t="shared" si="41"/>
        <v>1</v>
      </c>
    </row>
    <row r="163" spans="1:16" s="9" customFormat="1" ht="23.25" customHeight="1" x14ac:dyDescent="0.25">
      <c r="A163" s="89"/>
      <c r="B163" s="379"/>
      <c r="C163" s="813"/>
      <c r="D163" s="455"/>
      <c r="E163" s="428" t="s">
        <v>50</v>
      </c>
      <c r="F163" s="456"/>
      <c r="G163" s="83">
        <v>44922</v>
      </c>
      <c r="H163" s="457"/>
      <c r="I163" s="338" t="s">
        <v>166</v>
      </c>
      <c r="J163" s="335" t="s">
        <v>163</v>
      </c>
      <c r="K163" s="443">
        <v>1</v>
      </c>
      <c r="L163" s="458">
        <v>1</v>
      </c>
      <c r="M163" s="137">
        <f t="shared" si="40"/>
        <v>1</v>
      </c>
      <c r="N163" s="433"/>
      <c r="O163" s="438"/>
      <c r="P163" s="87">
        <f t="shared" si="41"/>
        <v>1</v>
      </c>
    </row>
    <row r="164" spans="1:16" s="9" customFormat="1" ht="18" customHeight="1" x14ac:dyDescent="0.25">
      <c r="A164" s="89"/>
      <c r="B164" s="379"/>
      <c r="C164" s="813"/>
      <c r="D164" s="455"/>
      <c r="E164" s="428" t="s">
        <v>50</v>
      </c>
      <c r="F164" s="456"/>
      <c r="G164" s="83">
        <v>44922</v>
      </c>
      <c r="H164" s="457"/>
      <c r="I164" s="338" t="s">
        <v>175</v>
      </c>
      <c r="J164" s="335" t="s">
        <v>167</v>
      </c>
      <c r="K164" s="443">
        <v>1</v>
      </c>
      <c r="L164" s="458">
        <v>4</v>
      </c>
      <c r="M164" s="137">
        <f t="shared" si="40"/>
        <v>1</v>
      </c>
      <c r="N164" s="433"/>
      <c r="O164" s="438"/>
      <c r="P164" s="87">
        <f t="shared" si="41"/>
        <v>1</v>
      </c>
    </row>
    <row r="165" spans="1:16" s="9" customFormat="1" ht="32.25" customHeight="1" x14ac:dyDescent="0.25">
      <c r="A165" s="89"/>
      <c r="B165" s="379"/>
      <c r="C165" s="813"/>
      <c r="D165" s="455"/>
      <c r="E165" s="428" t="s">
        <v>50</v>
      </c>
      <c r="F165" s="456"/>
      <c r="G165" s="83">
        <v>44922</v>
      </c>
      <c r="H165" s="457"/>
      <c r="I165" s="338" t="s">
        <v>176</v>
      </c>
      <c r="J165" s="335" t="s">
        <v>169</v>
      </c>
      <c r="K165" s="443">
        <v>1</v>
      </c>
      <c r="L165" s="458">
        <v>8</v>
      </c>
      <c r="M165" s="137">
        <f t="shared" si="40"/>
        <v>1</v>
      </c>
      <c r="N165" s="433"/>
      <c r="O165" s="438"/>
      <c r="P165" s="87">
        <f t="shared" si="41"/>
        <v>1</v>
      </c>
    </row>
    <row r="166" spans="1:16" s="9" customFormat="1" ht="25.5" customHeight="1" x14ac:dyDescent="0.25">
      <c r="A166" s="89"/>
      <c r="B166" s="379"/>
      <c r="C166" s="813"/>
      <c r="D166" s="455"/>
      <c r="E166" s="428" t="s">
        <v>50</v>
      </c>
      <c r="F166" s="456"/>
      <c r="G166" s="83">
        <v>44922</v>
      </c>
      <c r="H166" s="457"/>
      <c r="I166" s="338" t="s">
        <v>177</v>
      </c>
      <c r="J166" s="335" t="s">
        <v>170</v>
      </c>
      <c r="K166" s="443">
        <v>1</v>
      </c>
      <c r="L166" s="458">
        <v>9</v>
      </c>
      <c r="M166" s="137">
        <f t="shared" si="40"/>
        <v>1</v>
      </c>
      <c r="N166" s="433"/>
      <c r="O166" s="438"/>
      <c r="P166" s="87">
        <f t="shared" si="41"/>
        <v>1</v>
      </c>
    </row>
    <row r="167" spans="1:16" s="9" customFormat="1" ht="25.5" customHeight="1" x14ac:dyDescent="0.25">
      <c r="A167" s="89"/>
      <c r="B167" s="379"/>
      <c r="C167" s="813"/>
      <c r="D167" s="455"/>
      <c r="E167" s="428" t="s">
        <v>50</v>
      </c>
      <c r="G167" s="83">
        <v>44922</v>
      </c>
      <c r="H167" s="457"/>
      <c r="I167" s="338" t="s">
        <v>178</v>
      </c>
      <c r="J167" s="335" t="s">
        <v>171</v>
      </c>
      <c r="K167" s="443">
        <v>1</v>
      </c>
      <c r="L167" s="458">
        <v>11</v>
      </c>
      <c r="M167" s="137">
        <f t="shared" si="40"/>
        <v>1</v>
      </c>
      <c r="N167" s="433"/>
      <c r="O167" s="438"/>
      <c r="P167" s="87">
        <f t="shared" si="41"/>
        <v>1</v>
      </c>
    </row>
    <row r="168" spans="1:16" s="9" customFormat="1" ht="24.75" customHeight="1" x14ac:dyDescent="0.25">
      <c r="A168" s="89"/>
      <c r="B168" s="379"/>
      <c r="C168" s="813"/>
      <c r="D168" s="455"/>
      <c r="E168" s="428" t="s">
        <v>50</v>
      </c>
      <c r="F168" s="456"/>
      <c r="G168" s="83">
        <v>44922</v>
      </c>
      <c r="H168" s="457"/>
      <c r="I168" s="338" t="s">
        <v>179</v>
      </c>
      <c r="J168" s="335" t="s">
        <v>173</v>
      </c>
      <c r="K168" s="443">
        <v>1</v>
      </c>
      <c r="L168" s="458">
        <v>12</v>
      </c>
      <c r="M168" s="137">
        <f t="shared" si="40"/>
        <v>1</v>
      </c>
      <c r="N168" s="433"/>
      <c r="O168" s="438"/>
      <c r="P168" s="87">
        <f t="shared" si="41"/>
        <v>1</v>
      </c>
    </row>
    <row r="169" spans="1:16" s="9" customFormat="1" ht="29.25" customHeight="1" x14ac:dyDescent="0.25">
      <c r="A169" s="89"/>
      <c r="B169" s="379"/>
      <c r="C169" s="813"/>
      <c r="D169" s="455"/>
      <c r="E169" s="428" t="s">
        <v>50</v>
      </c>
      <c r="F169" s="456"/>
      <c r="G169" s="83">
        <v>44922</v>
      </c>
      <c r="H169" s="457"/>
      <c r="I169" s="338" t="s">
        <v>180</v>
      </c>
      <c r="J169" s="335" t="s">
        <v>172</v>
      </c>
      <c r="K169" s="443">
        <v>1</v>
      </c>
      <c r="L169" s="458">
        <v>13</v>
      </c>
      <c r="M169" s="137">
        <f t="shared" si="40"/>
        <v>1</v>
      </c>
      <c r="N169" s="433"/>
      <c r="O169" s="438"/>
      <c r="P169" s="87">
        <f t="shared" si="41"/>
        <v>1</v>
      </c>
    </row>
    <row r="170" spans="1:16" s="9" customFormat="1" ht="15.75" customHeight="1" x14ac:dyDescent="0.25">
      <c r="A170" s="89"/>
      <c r="B170" s="379"/>
      <c r="C170" s="813"/>
      <c r="D170" s="455"/>
      <c r="E170" s="428" t="s">
        <v>50</v>
      </c>
      <c r="F170" s="456"/>
      <c r="G170" s="83">
        <v>44922</v>
      </c>
      <c r="H170" s="457"/>
      <c r="I170" s="338" t="s">
        <v>181</v>
      </c>
      <c r="J170" s="335" t="s">
        <v>174</v>
      </c>
      <c r="K170" s="443">
        <v>1</v>
      </c>
      <c r="L170" s="458">
        <v>16</v>
      </c>
      <c r="M170" s="137">
        <f t="shared" si="40"/>
        <v>1</v>
      </c>
      <c r="N170" s="433"/>
      <c r="O170" s="438"/>
      <c r="P170" s="87">
        <f t="shared" si="41"/>
        <v>1</v>
      </c>
    </row>
    <row r="171" spans="1:16" s="9" customFormat="1" ht="32.25" customHeight="1" x14ac:dyDescent="0.25">
      <c r="A171" s="89"/>
      <c r="B171" s="379"/>
      <c r="C171" s="813"/>
      <c r="D171" s="455"/>
      <c r="E171" s="428" t="s">
        <v>50</v>
      </c>
      <c r="F171" s="456"/>
      <c r="G171" s="83">
        <v>44922</v>
      </c>
      <c r="H171" s="457"/>
      <c r="I171" s="338" t="s">
        <v>183</v>
      </c>
      <c r="J171" s="335" t="s">
        <v>187</v>
      </c>
      <c r="K171" s="443">
        <v>1</v>
      </c>
      <c r="L171" s="458">
        <v>17</v>
      </c>
      <c r="M171" s="137">
        <f t="shared" si="40"/>
        <v>1</v>
      </c>
      <c r="N171" s="433"/>
      <c r="O171" s="438"/>
      <c r="P171" s="87">
        <f t="shared" si="41"/>
        <v>1</v>
      </c>
    </row>
    <row r="172" spans="1:16" s="9" customFormat="1" ht="32.25" customHeight="1" x14ac:dyDescent="0.25">
      <c r="A172" s="89"/>
      <c r="B172" s="379"/>
      <c r="C172" s="813"/>
      <c r="D172" s="455"/>
      <c r="E172" s="428" t="s">
        <v>50</v>
      </c>
      <c r="F172" s="456"/>
      <c r="G172" s="83">
        <v>44922</v>
      </c>
      <c r="H172" s="457"/>
      <c r="I172" s="338" t="s">
        <v>182</v>
      </c>
      <c r="J172" s="335" t="s">
        <v>186</v>
      </c>
      <c r="K172" s="443">
        <v>1</v>
      </c>
      <c r="L172" s="458">
        <v>18</v>
      </c>
      <c r="M172" s="137">
        <f t="shared" si="40"/>
        <v>1</v>
      </c>
      <c r="N172" s="433"/>
      <c r="O172" s="438"/>
      <c r="P172" s="87">
        <f t="shared" si="41"/>
        <v>1</v>
      </c>
    </row>
    <row r="173" spans="1:16" s="9" customFormat="1" ht="32.25" customHeight="1" x14ac:dyDescent="0.25">
      <c r="A173" s="89"/>
      <c r="B173" s="379"/>
      <c r="C173" s="813"/>
      <c r="D173" s="455"/>
      <c r="E173" s="428" t="s">
        <v>50</v>
      </c>
      <c r="F173" s="456"/>
      <c r="G173" s="83">
        <v>44922</v>
      </c>
      <c r="H173" s="457"/>
      <c r="I173" s="338" t="s">
        <v>184</v>
      </c>
      <c r="J173" s="335" t="s">
        <v>185</v>
      </c>
      <c r="K173" s="443">
        <v>1</v>
      </c>
      <c r="L173" s="458"/>
      <c r="M173" s="137">
        <f t="shared" si="40"/>
        <v>1</v>
      </c>
      <c r="N173" s="433"/>
      <c r="O173" s="438"/>
      <c r="P173" s="87">
        <f t="shared" si="41"/>
        <v>1</v>
      </c>
    </row>
    <row r="174" spans="1:16" s="9" customFormat="1" ht="42" customHeight="1" x14ac:dyDescent="0.25">
      <c r="A174" s="89"/>
      <c r="B174" s="379"/>
      <c r="C174" s="813"/>
      <c r="D174" s="455"/>
      <c r="E174" s="428" t="s">
        <v>50</v>
      </c>
      <c r="F174" s="456"/>
      <c r="G174" s="83">
        <v>44922</v>
      </c>
      <c r="H174" s="457"/>
      <c r="I174" s="338" t="s">
        <v>188</v>
      </c>
      <c r="J174" s="335" t="s">
        <v>195</v>
      </c>
      <c r="K174" s="443">
        <v>1</v>
      </c>
      <c r="L174" s="458"/>
      <c r="M174" s="137">
        <f t="shared" si="40"/>
        <v>1</v>
      </c>
      <c r="N174" s="433"/>
      <c r="O174" s="438"/>
      <c r="P174" s="87">
        <f t="shared" si="41"/>
        <v>1</v>
      </c>
    </row>
    <row r="175" spans="1:16" s="9" customFormat="1" ht="32.25" customHeight="1" x14ac:dyDescent="0.25">
      <c r="A175" s="89"/>
      <c r="B175" s="379"/>
      <c r="C175" s="813"/>
      <c r="D175" s="455"/>
      <c r="E175" s="428" t="s">
        <v>50</v>
      </c>
      <c r="F175" s="456"/>
      <c r="G175" s="83">
        <v>44922</v>
      </c>
      <c r="H175" s="457"/>
      <c r="I175" s="338" t="s">
        <v>189</v>
      </c>
      <c r="J175" s="335" t="s">
        <v>196</v>
      </c>
      <c r="K175" s="443">
        <v>1</v>
      </c>
      <c r="L175" s="458"/>
      <c r="M175" s="137">
        <f t="shared" si="40"/>
        <v>1</v>
      </c>
      <c r="N175" s="433"/>
      <c r="O175" s="438"/>
      <c r="P175" s="87">
        <f t="shared" si="41"/>
        <v>1</v>
      </c>
    </row>
    <row r="176" spans="1:16" s="9" customFormat="1" ht="32.25" customHeight="1" x14ac:dyDescent="0.25">
      <c r="A176" s="89"/>
      <c r="B176" s="379"/>
      <c r="C176" s="813"/>
      <c r="D176" s="455"/>
      <c r="E176" s="428" t="s">
        <v>50</v>
      </c>
      <c r="F176" s="456"/>
      <c r="G176" s="83">
        <v>44922</v>
      </c>
      <c r="H176" s="457"/>
      <c r="I176" s="338" t="s">
        <v>190</v>
      </c>
      <c r="J176" s="335" t="s">
        <v>197</v>
      </c>
      <c r="K176" s="443">
        <v>1</v>
      </c>
      <c r="L176" s="458"/>
      <c r="M176" s="137">
        <f t="shared" si="40"/>
        <v>1</v>
      </c>
      <c r="N176" s="433"/>
      <c r="O176" s="438"/>
      <c r="P176" s="87">
        <f t="shared" si="41"/>
        <v>1</v>
      </c>
    </row>
    <row r="177" spans="1:16" s="9" customFormat="1" ht="32.25" customHeight="1" x14ac:dyDescent="0.25">
      <c r="A177" s="89"/>
      <c r="B177" s="379"/>
      <c r="C177" s="813"/>
      <c r="D177" s="455"/>
      <c r="E177" s="428" t="s">
        <v>50</v>
      </c>
      <c r="F177" s="456"/>
      <c r="G177" s="83">
        <v>44922</v>
      </c>
      <c r="H177" s="457"/>
      <c r="I177" s="338" t="s">
        <v>191</v>
      </c>
      <c r="J177" s="335" t="s">
        <v>198</v>
      </c>
      <c r="K177" s="443">
        <v>1</v>
      </c>
      <c r="L177" s="458"/>
      <c r="M177" s="137">
        <f t="shared" si="40"/>
        <v>1</v>
      </c>
      <c r="N177" s="433"/>
      <c r="O177" s="438"/>
      <c r="P177" s="87">
        <f t="shared" si="41"/>
        <v>1</v>
      </c>
    </row>
    <row r="178" spans="1:16" s="9" customFormat="1" ht="32.25" customHeight="1" x14ac:dyDescent="0.25">
      <c r="A178" s="89"/>
      <c r="B178" s="379"/>
      <c r="C178" s="813"/>
      <c r="D178" s="455"/>
      <c r="E178" s="428" t="s">
        <v>50</v>
      </c>
      <c r="F178" s="456"/>
      <c r="G178" s="83">
        <v>44922</v>
      </c>
      <c r="H178" s="457"/>
      <c r="I178" s="338" t="s">
        <v>192</v>
      </c>
      <c r="J178" s="335" t="s">
        <v>199</v>
      </c>
      <c r="K178" s="443">
        <v>1</v>
      </c>
      <c r="L178" s="458"/>
      <c r="M178" s="137">
        <f t="shared" si="40"/>
        <v>1</v>
      </c>
      <c r="N178" s="433"/>
      <c r="O178" s="438"/>
      <c r="P178" s="87">
        <f t="shared" si="41"/>
        <v>1</v>
      </c>
    </row>
    <row r="179" spans="1:16" s="9" customFormat="1" ht="32.25" customHeight="1" x14ac:dyDescent="0.25">
      <c r="A179" s="89"/>
      <c r="B179" s="379"/>
      <c r="C179" s="813"/>
      <c r="D179" s="455"/>
      <c r="E179" s="428" t="s">
        <v>50</v>
      </c>
      <c r="F179" s="456"/>
      <c r="G179" s="83">
        <v>44922</v>
      </c>
      <c r="H179" s="457"/>
      <c r="I179" s="338" t="s">
        <v>193</v>
      </c>
      <c r="J179" s="335" t="s">
        <v>200</v>
      </c>
      <c r="K179" s="443">
        <v>1</v>
      </c>
      <c r="L179" s="458"/>
      <c r="M179" s="137">
        <f t="shared" si="40"/>
        <v>1</v>
      </c>
      <c r="N179" s="433"/>
      <c r="O179" s="438"/>
      <c r="P179" s="87">
        <f t="shared" si="41"/>
        <v>1</v>
      </c>
    </row>
    <row r="180" spans="1:16" s="9" customFormat="1" ht="32.25" customHeight="1" x14ac:dyDescent="0.25">
      <c r="A180" s="89"/>
      <c r="B180" s="379"/>
      <c r="C180" s="813"/>
      <c r="D180" s="455"/>
      <c r="E180" s="428" t="s">
        <v>50</v>
      </c>
      <c r="F180" s="456"/>
      <c r="G180" s="83">
        <v>44922</v>
      </c>
      <c r="H180" s="457"/>
      <c r="I180" s="338" t="s">
        <v>194</v>
      </c>
      <c r="J180" s="335" t="s">
        <v>201</v>
      </c>
      <c r="K180" s="443">
        <v>1</v>
      </c>
      <c r="L180" s="458"/>
      <c r="M180" s="137">
        <f t="shared" si="40"/>
        <v>1</v>
      </c>
      <c r="N180" s="433"/>
      <c r="O180" s="438"/>
      <c r="P180" s="87">
        <f t="shared" si="41"/>
        <v>1</v>
      </c>
    </row>
    <row r="181" spans="1:16" s="9" customFormat="1" ht="32.25" customHeight="1" x14ac:dyDescent="0.25">
      <c r="A181" s="89"/>
      <c r="B181" s="379"/>
      <c r="C181" s="510" t="s">
        <v>428</v>
      </c>
      <c r="D181" s="455">
        <v>45317</v>
      </c>
      <c r="E181" s="428" t="s">
        <v>50</v>
      </c>
      <c r="F181" s="456"/>
      <c r="G181" s="83">
        <v>45196</v>
      </c>
      <c r="H181" s="457"/>
      <c r="I181" s="338" t="s">
        <v>429</v>
      </c>
      <c r="J181" s="335" t="s">
        <v>270</v>
      </c>
      <c r="K181" s="443">
        <v>1</v>
      </c>
      <c r="L181" s="458"/>
      <c r="M181" s="137">
        <f t="shared" si="40"/>
        <v>1</v>
      </c>
      <c r="N181" s="433"/>
      <c r="O181" s="438"/>
      <c r="P181" s="87">
        <f t="shared" si="41"/>
        <v>1</v>
      </c>
    </row>
    <row r="182" spans="1:16" s="9" customFormat="1" ht="38.25" customHeight="1" x14ac:dyDescent="0.25">
      <c r="A182" s="89"/>
      <c r="B182" s="379"/>
      <c r="C182" s="810" t="s">
        <v>430</v>
      </c>
      <c r="D182" s="455">
        <v>45317</v>
      </c>
      <c r="E182" s="428" t="s">
        <v>50</v>
      </c>
      <c r="F182" s="456"/>
      <c r="G182" s="83">
        <v>45195</v>
      </c>
      <c r="H182" s="457"/>
      <c r="I182" s="338" t="s">
        <v>441</v>
      </c>
      <c r="J182" s="335" t="s">
        <v>395</v>
      </c>
      <c r="K182" s="513">
        <v>1</v>
      </c>
      <c r="L182" s="458"/>
      <c r="M182" s="137">
        <f t="shared" si="40"/>
        <v>1</v>
      </c>
      <c r="N182" s="433"/>
      <c r="O182" s="438"/>
      <c r="P182" s="87">
        <f t="shared" si="41"/>
        <v>1</v>
      </c>
    </row>
    <row r="183" spans="1:16" s="9" customFormat="1" ht="32.25" customHeight="1" x14ac:dyDescent="0.25">
      <c r="A183" s="89"/>
      <c r="B183" s="379"/>
      <c r="C183" s="813"/>
      <c r="D183" s="455">
        <v>45285</v>
      </c>
      <c r="E183" s="428" t="s">
        <v>50</v>
      </c>
      <c r="F183" s="456"/>
      <c r="G183" s="83">
        <v>45195</v>
      </c>
      <c r="H183" s="457"/>
      <c r="I183" s="338" t="s">
        <v>447</v>
      </c>
      <c r="J183" s="335" t="s">
        <v>396</v>
      </c>
      <c r="K183" s="513">
        <v>1</v>
      </c>
      <c r="L183" s="458"/>
      <c r="M183" s="137">
        <f t="shared" si="40"/>
        <v>1</v>
      </c>
      <c r="N183" s="433"/>
      <c r="O183" s="438"/>
      <c r="P183" s="87">
        <f t="shared" si="41"/>
        <v>1</v>
      </c>
    </row>
    <row r="184" spans="1:16" s="9" customFormat="1" ht="32.25" customHeight="1" x14ac:dyDescent="0.25">
      <c r="A184" s="89"/>
      <c r="B184" s="379"/>
      <c r="C184" s="813"/>
      <c r="D184" s="455">
        <v>45285</v>
      </c>
      <c r="E184" s="428" t="s">
        <v>50</v>
      </c>
      <c r="F184" s="456"/>
      <c r="G184" s="83">
        <v>45195</v>
      </c>
      <c r="H184" s="457"/>
      <c r="I184" s="338" t="s">
        <v>448</v>
      </c>
      <c r="J184" s="335" t="s">
        <v>124</v>
      </c>
      <c r="K184" s="513">
        <v>2</v>
      </c>
      <c r="L184" s="458"/>
      <c r="M184" s="137">
        <f t="shared" si="40"/>
        <v>2</v>
      </c>
      <c r="N184" s="433"/>
      <c r="O184" s="438"/>
      <c r="P184" s="87">
        <f t="shared" si="41"/>
        <v>2</v>
      </c>
    </row>
    <row r="185" spans="1:16" s="9" customFormat="1" ht="37.5" customHeight="1" x14ac:dyDescent="0.25">
      <c r="A185" s="89"/>
      <c r="B185" s="379"/>
      <c r="C185" s="813"/>
      <c r="D185" s="455">
        <v>45317</v>
      </c>
      <c r="E185" s="428" t="s">
        <v>50</v>
      </c>
      <c r="F185" s="456"/>
      <c r="G185" s="83">
        <v>45195</v>
      </c>
      <c r="H185" s="457"/>
      <c r="I185" s="338" t="s">
        <v>442</v>
      </c>
      <c r="J185" s="335" t="s">
        <v>431</v>
      </c>
      <c r="K185" s="513">
        <v>2</v>
      </c>
      <c r="L185" s="458"/>
      <c r="M185" s="137">
        <f t="shared" si="40"/>
        <v>2</v>
      </c>
      <c r="N185" s="433"/>
      <c r="O185" s="438"/>
      <c r="P185" s="87">
        <f t="shared" si="41"/>
        <v>2</v>
      </c>
    </row>
    <row r="186" spans="1:16" s="9" customFormat="1" ht="36.75" customHeight="1" x14ac:dyDescent="0.25">
      <c r="A186" s="89"/>
      <c r="B186" s="379"/>
      <c r="C186" s="813"/>
      <c r="D186" s="455">
        <v>45285</v>
      </c>
      <c r="E186" s="428" t="s">
        <v>50</v>
      </c>
      <c r="F186" s="456"/>
      <c r="G186" s="83">
        <v>45195</v>
      </c>
      <c r="H186" s="457"/>
      <c r="I186" s="338" t="s">
        <v>449</v>
      </c>
      <c r="J186" s="335" t="s">
        <v>432</v>
      </c>
      <c r="K186" s="513">
        <v>1</v>
      </c>
      <c r="L186" s="458"/>
      <c r="M186" s="137">
        <f t="shared" ref="M186:M223" si="42">K186</f>
        <v>1</v>
      </c>
      <c r="N186" s="433"/>
      <c r="O186" s="438"/>
      <c r="P186" s="87">
        <f t="shared" ref="P186:P223" si="43">M186-N186</f>
        <v>1</v>
      </c>
    </row>
    <row r="187" spans="1:16" s="9" customFormat="1" ht="32.25" customHeight="1" x14ac:dyDescent="0.25">
      <c r="A187" s="89"/>
      <c r="B187" s="379"/>
      <c r="C187" s="813"/>
      <c r="D187" s="455">
        <v>45317</v>
      </c>
      <c r="E187" s="428" t="s">
        <v>50</v>
      </c>
      <c r="F187" s="456"/>
      <c r="G187" s="83">
        <v>45195</v>
      </c>
      <c r="H187" s="457"/>
      <c r="I187" s="338" t="s">
        <v>443</v>
      </c>
      <c r="J187" s="335" t="s">
        <v>433</v>
      </c>
      <c r="K187" s="513">
        <v>2</v>
      </c>
      <c r="L187" s="458"/>
      <c r="M187" s="137">
        <f t="shared" si="42"/>
        <v>2</v>
      </c>
      <c r="N187" s="433"/>
      <c r="O187" s="438"/>
      <c r="P187" s="87">
        <f t="shared" si="43"/>
        <v>2</v>
      </c>
    </row>
    <row r="188" spans="1:16" s="9" customFormat="1" ht="32.25" customHeight="1" x14ac:dyDescent="0.25">
      <c r="A188" s="89"/>
      <c r="B188" s="379"/>
      <c r="C188" s="813"/>
      <c r="D188" s="455">
        <v>45317</v>
      </c>
      <c r="E188" s="428" t="s">
        <v>50</v>
      </c>
      <c r="F188" s="456"/>
      <c r="G188" s="83">
        <v>45195</v>
      </c>
      <c r="H188" s="457"/>
      <c r="I188" s="338" t="s">
        <v>444</v>
      </c>
      <c r="J188" s="335" t="s">
        <v>434</v>
      </c>
      <c r="K188" s="513">
        <v>1</v>
      </c>
      <c r="L188" s="458"/>
      <c r="M188" s="137">
        <f t="shared" si="42"/>
        <v>1</v>
      </c>
      <c r="N188" s="433"/>
      <c r="O188" s="438"/>
      <c r="P188" s="87">
        <f t="shared" si="43"/>
        <v>1</v>
      </c>
    </row>
    <row r="189" spans="1:16" s="9" customFormat="1" ht="32.25" customHeight="1" x14ac:dyDescent="0.25">
      <c r="A189" s="89"/>
      <c r="B189" s="379"/>
      <c r="C189" s="813"/>
      <c r="D189" s="455">
        <v>45317</v>
      </c>
      <c r="E189" s="428" t="s">
        <v>50</v>
      </c>
      <c r="F189" s="456"/>
      <c r="G189" s="83">
        <v>45195</v>
      </c>
      <c r="H189" s="457"/>
      <c r="I189" s="338" t="s">
        <v>445</v>
      </c>
      <c r="J189" s="335" t="s">
        <v>435</v>
      </c>
      <c r="K189" s="513">
        <v>3</v>
      </c>
      <c r="L189" s="458"/>
      <c r="M189" s="137">
        <f t="shared" si="42"/>
        <v>3</v>
      </c>
      <c r="N189" s="433"/>
      <c r="O189" s="438"/>
      <c r="P189" s="87">
        <f t="shared" si="43"/>
        <v>3</v>
      </c>
    </row>
    <row r="190" spans="1:16" s="9" customFormat="1" ht="32.25" customHeight="1" x14ac:dyDescent="0.25">
      <c r="A190" s="89"/>
      <c r="B190" s="379"/>
      <c r="C190" s="813"/>
      <c r="D190" s="455">
        <v>45317</v>
      </c>
      <c r="E190" s="428" t="s">
        <v>50</v>
      </c>
      <c r="F190" s="456"/>
      <c r="G190" s="83">
        <v>45195</v>
      </c>
      <c r="H190" s="457"/>
      <c r="I190" s="338" t="s">
        <v>446</v>
      </c>
      <c r="J190" s="335" t="s">
        <v>436</v>
      </c>
      <c r="K190" s="513">
        <v>2</v>
      </c>
      <c r="L190" s="458"/>
      <c r="M190" s="137">
        <f t="shared" si="42"/>
        <v>2</v>
      </c>
      <c r="N190" s="433"/>
      <c r="O190" s="438"/>
      <c r="P190" s="87">
        <f t="shared" si="43"/>
        <v>2</v>
      </c>
    </row>
    <row r="191" spans="1:16" s="9" customFormat="1" ht="32.25" customHeight="1" x14ac:dyDescent="0.25">
      <c r="A191" s="89"/>
      <c r="B191" s="379"/>
      <c r="C191" s="813"/>
      <c r="D191" s="455">
        <v>45285</v>
      </c>
      <c r="E191" s="428" t="s">
        <v>50</v>
      </c>
      <c r="F191" s="456"/>
      <c r="G191" s="83">
        <v>45195</v>
      </c>
      <c r="H191" s="457"/>
      <c r="I191" s="338" t="s">
        <v>450</v>
      </c>
      <c r="J191" s="335" t="s">
        <v>437</v>
      </c>
      <c r="K191" s="513">
        <v>1</v>
      </c>
      <c r="L191" s="458"/>
      <c r="M191" s="137">
        <f t="shared" si="42"/>
        <v>1</v>
      </c>
      <c r="N191" s="433"/>
      <c r="O191" s="438"/>
      <c r="P191" s="87">
        <f t="shared" si="43"/>
        <v>1</v>
      </c>
    </row>
    <row r="192" spans="1:16" s="9" customFormat="1" ht="32.25" customHeight="1" x14ac:dyDescent="0.25">
      <c r="A192" s="89"/>
      <c r="B192" s="379"/>
      <c r="C192" s="813"/>
      <c r="D192" s="455">
        <v>45285</v>
      </c>
      <c r="E192" s="428" t="s">
        <v>50</v>
      </c>
      <c r="F192" s="456"/>
      <c r="G192" s="83">
        <v>45195</v>
      </c>
      <c r="H192" s="457"/>
      <c r="I192" s="338" t="s">
        <v>451</v>
      </c>
      <c r="J192" s="335" t="s">
        <v>438</v>
      </c>
      <c r="K192" s="513">
        <v>1</v>
      </c>
      <c r="L192" s="458"/>
      <c r="M192" s="137">
        <f t="shared" si="42"/>
        <v>1</v>
      </c>
      <c r="N192" s="433"/>
      <c r="O192" s="438"/>
      <c r="P192" s="87">
        <f t="shared" si="43"/>
        <v>1</v>
      </c>
    </row>
    <row r="193" spans="1:16" s="9" customFormat="1" ht="32.25" customHeight="1" x14ac:dyDescent="0.25">
      <c r="A193" s="89"/>
      <c r="B193" s="379"/>
      <c r="C193" s="813"/>
      <c r="D193" s="455">
        <v>45285</v>
      </c>
      <c r="E193" s="428" t="s">
        <v>50</v>
      </c>
      <c r="F193" s="456"/>
      <c r="G193" s="83">
        <v>45195</v>
      </c>
      <c r="H193" s="457"/>
      <c r="I193" s="338" t="s">
        <v>452</v>
      </c>
      <c r="J193" s="335" t="s">
        <v>439</v>
      </c>
      <c r="K193" s="513">
        <v>1</v>
      </c>
      <c r="L193" s="458"/>
      <c r="M193" s="137">
        <f t="shared" si="42"/>
        <v>1</v>
      </c>
      <c r="N193" s="433"/>
      <c r="O193" s="438"/>
      <c r="P193" s="87">
        <f t="shared" si="43"/>
        <v>1</v>
      </c>
    </row>
    <row r="194" spans="1:16" s="9" customFormat="1" ht="40.5" customHeight="1" x14ac:dyDescent="0.25">
      <c r="A194" s="89"/>
      <c r="B194" s="379"/>
      <c r="C194" s="811"/>
      <c r="D194" s="455">
        <v>45285</v>
      </c>
      <c r="E194" s="428" t="s">
        <v>50</v>
      </c>
      <c r="F194" s="456"/>
      <c r="G194" s="83">
        <v>45195</v>
      </c>
      <c r="H194" s="457"/>
      <c r="I194" s="338" t="s">
        <v>453</v>
      </c>
      <c r="J194" s="335" t="s">
        <v>440</v>
      </c>
      <c r="K194" s="513">
        <v>1</v>
      </c>
      <c r="L194" s="458"/>
      <c r="M194" s="137">
        <f t="shared" si="42"/>
        <v>1</v>
      </c>
      <c r="N194" s="433"/>
      <c r="O194" s="438"/>
      <c r="P194" s="87">
        <f t="shared" si="43"/>
        <v>1</v>
      </c>
    </row>
    <row r="195" spans="1:16" s="9" customFormat="1" ht="40.5" customHeight="1" x14ac:dyDescent="0.25">
      <c r="A195" s="89"/>
      <c r="B195" s="379"/>
      <c r="C195" s="810" t="s">
        <v>454</v>
      </c>
      <c r="D195" s="455">
        <v>45317</v>
      </c>
      <c r="E195" s="428" t="s">
        <v>50</v>
      </c>
      <c r="F195" s="456"/>
      <c r="G195" s="83">
        <v>45195</v>
      </c>
      <c r="H195" s="457"/>
      <c r="I195" s="338" t="s">
        <v>456</v>
      </c>
      <c r="J195" s="335" t="s">
        <v>435</v>
      </c>
      <c r="K195" s="513">
        <v>1</v>
      </c>
      <c r="L195" s="458"/>
      <c r="M195" s="137">
        <f t="shared" si="42"/>
        <v>1</v>
      </c>
      <c r="N195" s="433"/>
      <c r="O195" s="438"/>
      <c r="P195" s="87">
        <f t="shared" si="43"/>
        <v>1</v>
      </c>
    </row>
    <row r="196" spans="1:16" s="9" customFormat="1" ht="66.75" customHeight="1" x14ac:dyDescent="0.25">
      <c r="A196" s="89"/>
      <c r="B196" s="379"/>
      <c r="C196" s="811"/>
      <c r="D196" s="455">
        <v>45317</v>
      </c>
      <c r="E196" s="428" t="s">
        <v>50</v>
      </c>
      <c r="F196" s="456"/>
      <c r="G196" s="83">
        <v>45195</v>
      </c>
      <c r="H196" s="457"/>
      <c r="I196" s="338" t="s">
        <v>457</v>
      </c>
      <c r="J196" s="335" t="s">
        <v>455</v>
      </c>
      <c r="K196" s="513">
        <v>2</v>
      </c>
      <c r="L196" s="458"/>
      <c r="M196" s="137">
        <f t="shared" si="42"/>
        <v>2</v>
      </c>
      <c r="N196" s="433"/>
      <c r="O196" s="438"/>
      <c r="P196" s="87">
        <f t="shared" si="43"/>
        <v>2</v>
      </c>
    </row>
    <row r="197" spans="1:16" s="9" customFormat="1" ht="38.25" customHeight="1" x14ac:dyDescent="0.25">
      <c r="A197" s="89"/>
      <c r="B197" s="379"/>
      <c r="C197" s="810" t="s">
        <v>403</v>
      </c>
      <c r="D197" s="455">
        <v>45278</v>
      </c>
      <c r="E197" s="428" t="s">
        <v>50</v>
      </c>
      <c r="F197" s="456"/>
      <c r="G197" s="83">
        <v>45187</v>
      </c>
      <c r="H197" s="457"/>
      <c r="I197" s="338" t="s">
        <v>398</v>
      </c>
      <c r="J197" s="335" t="s">
        <v>395</v>
      </c>
      <c r="K197" s="513">
        <v>1</v>
      </c>
      <c r="L197" s="458"/>
      <c r="M197" s="137">
        <f t="shared" si="42"/>
        <v>1</v>
      </c>
      <c r="N197" s="433"/>
      <c r="O197" s="438"/>
      <c r="P197" s="87">
        <f t="shared" si="43"/>
        <v>1</v>
      </c>
    </row>
    <row r="198" spans="1:16" s="9" customFormat="1" ht="32.25" customHeight="1" x14ac:dyDescent="0.25">
      <c r="A198" s="89"/>
      <c r="B198" s="379"/>
      <c r="C198" s="813"/>
      <c r="D198" s="455">
        <v>45278</v>
      </c>
      <c r="E198" s="428" t="s">
        <v>50</v>
      </c>
      <c r="F198" s="456"/>
      <c r="G198" s="83">
        <v>45187</v>
      </c>
      <c r="H198" s="457"/>
      <c r="I198" s="338" t="s">
        <v>399</v>
      </c>
      <c r="J198" s="335" t="s">
        <v>396</v>
      </c>
      <c r="K198" s="513">
        <v>1</v>
      </c>
      <c r="L198" s="458"/>
      <c r="M198" s="137">
        <f t="shared" si="42"/>
        <v>1</v>
      </c>
      <c r="N198" s="433"/>
      <c r="O198" s="438"/>
      <c r="P198" s="87">
        <f t="shared" si="43"/>
        <v>1</v>
      </c>
    </row>
    <row r="199" spans="1:16" s="9" customFormat="1" ht="32.25" customHeight="1" x14ac:dyDescent="0.25">
      <c r="A199" s="89"/>
      <c r="B199" s="379"/>
      <c r="C199" s="813"/>
      <c r="D199" s="455">
        <v>45278</v>
      </c>
      <c r="E199" s="428" t="s">
        <v>50</v>
      </c>
      <c r="F199" s="456"/>
      <c r="G199" s="83">
        <v>45187</v>
      </c>
      <c r="H199" s="457"/>
      <c r="I199" s="338" t="s">
        <v>400</v>
      </c>
      <c r="J199" s="335" t="s">
        <v>123</v>
      </c>
      <c r="K199" s="513">
        <f>40+50</f>
        <v>90</v>
      </c>
      <c r="L199" s="458"/>
      <c r="M199" s="137">
        <f t="shared" si="42"/>
        <v>90</v>
      </c>
      <c r="N199" s="433"/>
      <c r="O199" s="438"/>
      <c r="P199" s="87">
        <f t="shared" si="43"/>
        <v>90</v>
      </c>
    </row>
    <row r="200" spans="1:16" s="9" customFormat="1" ht="32.25" customHeight="1" x14ac:dyDescent="0.25">
      <c r="A200" s="89"/>
      <c r="B200" s="379"/>
      <c r="C200" s="813"/>
      <c r="D200" s="455">
        <v>45278</v>
      </c>
      <c r="E200" s="428" t="s">
        <v>50</v>
      </c>
      <c r="F200" s="456"/>
      <c r="G200" s="83">
        <v>45187</v>
      </c>
      <c r="H200" s="457"/>
      <c r="I200" s="338" t="s">
        <v>401</v>
      </c>
      <c r="J200" s="335" t="s">
        <v>124</v>
      </c>
      <c r="K200" s="513">
        <v>2</v>
      </c>
      <c r="L200" s="458"/>
      <c r="M200" s="137">
        <f t="shared" si="42"/>
        <v>2</v>
      </c>
      <c r="N200" s="433"/>
      <c r="O200" s="438"/>
      <c r="P200" s="87">
        <f t="shared" si="43"/>
        <v>2</v>
      </c>
    </row>
    <row r="201" spans="1:16" s="9" customFormat="1" ht="32.25" customHeight="1" x14ac:dyDescent="0.25">
      <c r="A201" s="89"/>
      <c r="B201" s="379"/>
      <c r="C201" s="811"/>
      <c r="D201" s="455">
        <v>45278</v>
      </c>
      <c r="E201" s="428" t="s">
        <v>50</v>
      </c>
      <c r="F201" s="456"/>
      <c r="G201" s="83">
        <v>45187</v>
      </c>
      <c r="H201" s="457"/>
      <c r="I201" s="338" t="s">
        <v>402</v>
      </c>
      <c r="J201" s="335" t="s">
        <v>397</v>
      </c>
      <c r="K201" s="513">
        <v>1</v>
      </c>
      <c r="L201" s="458"/>
      <c r="M201" s="137">
        <f t="shared" si="42"/>
        <v>1</v>
      </c>
      <c r="N201" s="433"/>
      <c r="O201" s="438"/>
      <c r="P201" s="87">
        <f t="shared" si="43"/>
        <v>1</v>
      </c>
    </row>
    <row r="202" spans="1:16" s="121" customFormat="1" ht="31.5" customHeight="1" x14ac:dyDescent="0.25">
      <c r="A202" s="78"/>
      <c r="B202" s="132"/>
      <c r="C202" s="790" t="s">
        <v>473</v>
      </c>
      <c r="D202" s="351">
        <v>44966</v>
      </c>
      <c r="E202" s="365" t="s">
        <v>50</v>
      </c>
      <c r="F202" s="93"/>
      <c r="G202" s="426">
        <v>45208</v>
      </c>
      <c r="H202" s="134"/>
      <c r="I202" s="468" t="s">
        <v>470</v>
      </c>
      <c r="J202" s="336" t="s">
        <v>130</v>
      </c>
      <c r="K202" s="513">
        <v>21</v>
      </c>
      <c r="L202" s="135"/>
      <c r="M202" s="87">
        <f t="shared" si="42"/>
        <v>21</v>
      </c>
      <c r="N202" s="130"/>
      <c r="O202" s="135"/>
      <c r="P202" s="137">
        <f t="shared" si="43"/>
        <v>21</v>
      </c>
    </row>
    <row r="203" spans="1:16" s="121" customFormat="1" ht="39.6" x14ac:dyDescent="0.25">
      <c r="A203" s="78"/>
      <c r="B203" s="132"/>
      <c r="C203" s="791"/>
      <c r="D203" s="351">
        <v>44966</v>
      </c>
      <c r="E203" s="365" t="s">
        <v>50</v>
      </c>
      <c r="F203" s="93"/>
      <c r="G203" s="426">
        <v>45208</v>
      </c>
      <c r="H203" s="134"/>
      <c r="I203" s="468" t="s">
        <v>471</v>
      </c>
      <c r="J203" s="336" t="s">
        <v>312</v>
      </c>
      <c r="K203" s="513">
        <v>21</v>
      </c>
      <c r="L203" s="135"/>
      <c r="M203" s="87">
        <f t="shared" si="42"/>
        <v>21</v>
      </c>
      <c r="N203" s="130"/>
      <c r="O203" s="135"/>
      <c r="P203" s="137">
        <f t="shared" si="43"/>
        <v>21</v>
      </c>
    </row>
    <row r="204" spans="1:16" s="121" customFormat="1" ht="39.6" x14ac:dyDescent="0.25">
      <c r="A204" s="78"/>
      <c r="B204" s="132"/>
      <c r="C204" s="792"/>
      <c r="D204" s="351">
        <v>44966</v>
      </c>
      <c r="E204" s="365" t="s">
        <v>50</v>
      </c>
      <c r="F204" s="93"/>
      <c r="G204" s="426">
        <v>45208</v>
      </c>
      <c r="H204" s="134"/>
      <c r="I204" s="468" t="s">
        <v>472</v>
      </c>
      <c r="J204" s="336" t="s">
        <v>313</v>
      </c>
      <c r="K204" s="513">
        <v>21</v>
      </c>
      <c r="L204" s="135"/>
      <c r="M204" s="87">
        <f t="shared" si="42"/>
        <v>21</v>
      </c>
      <c r="N204" s="130"/>
      <c r="O204" s="135"/>
      <c r="P204" s="137">
        <f t="shared" si="43"/>
        <v>21</v>
      </c>
    </row>
    <row r="205" spans="1:16" s="9" customFormat="1" ht="22.5" customHeight="1" x14ac:dyDescent="0.25">
      <c r="A205" s="78"/>
      <c r="B205" s="132"/>
      <c r="C205" s="489"/>
      <c r="D205" s="552">
        <v>45270</v>
      </c>
      <c r="E205" s="365" t="s">
        <v>50</v>
      </c>
      <c r="F205" s="583"/>
      <c r="G205" s="426">
        <v>45238</v>
      </c>
      <c r="H205" s="457"/>
      <c r="I205" s="468" t="s">
        <v>520</v>
      </c>
      <c r="J205" s="336" t="s">
        <v>521</v>
      </c>
      <c r="K205" s="513">
        <v>6</v>
      </c>
      <c r="L205" s="458"/>
      <c r="M205" s="137">
        <f t="shared" si="42"/>
        <v>6</v>
      </c>
      <c r="N205" s="130"/>
      <c r="O205" s="584"/>
      <c r="P205" s="137">
        <f t="shared" si="43"/>
        <v>6</v>
      </c>
    </row>
    <row r="206" spans="1:16" s="9" customFormat="1" ht="41.25" customHeight="1" x14ac:dyDescent="0.25">
      <c r="A206" s="78"/>
      <c r="B206" s="132"/>
      <c r="C206" s="471" t="s">
        <v>518</v>
      </c>
      <c r="D206" s="552">
        <v>44992</v>
      </c>
      <c r="E206" s="365" t="s">
        <v>50</v>
      </c>
      <c r="F206" s="583"/>
      <c r="G206" s="426">
        <v>45237</v>
      </c>
      <c r="H206" s="457"/>
      <c r="I206" s="468" t="s">
        <v>519</v>
      </c>
      <c r="J206" s="336" t="s">
        <v>131</v>
      </c>
      <c r="K206" s="513">
        <v>1</v>
      </c>
      <c r="L206" s="458"/>
      <c r="M206" s="137">
        <f t="shared" si="42"/>
        <v>1</v>
      </c>
      <c r="N206" s="130"/>
      <c r="O206" s="584"/>
      <c r="P206" s="137">
        <f t="shared" si="43"/>
        <v>1</v>
      </c>
    </row>
    <row r="207" spans="1:16" s="9" customFormat="1" ht="34.5" customHeight="1" x14ac:dyDescent="0.25">
      <c r="A207" s="78"/>
      <c r="B207" s="132"/>
      <c r="C207" s="471" t="s">
        <v>522</v>
      </c>
      <c r="D207" s="552">
        <v>45026</v>
      </c>
      <c r="E207" s="365" t="s">
        <v>50</v>
      </c>
      <c r="F207" s="583"/>
      <c r="G207" s="426">
        <v>45240</v>
      </c>
      <c r="H207" s="457"/>
      <c r="I207" s="468" t="s">
        <v>523</v>
      </c>
      <c r="J207" s="336" t="s">
        <v>211</v>
      </c>
      <c r="K207" s="513">
        <v>1</v>
      </c>
      <c r="L207" s="458"/>
      <c r="M207" s="137">
        <f t="shared" si="42"/>
        <v>1</v>
      </c>
      <c r="N207" s="130"/>
      <c r="O207" s="584"/>
      <c r="P207" s="137">
        <f t="shared" si="43"/>
        <v>1</v>
      </c>
    </row>
    <row r="208" spans="1:16" s="9" customFormat="1" ht="34.5" customHeight="1" x14ac:dyDescent="0.25">
      <c r="A208" s="78"/>
      <c r="B208" s="132"/>
      <c r="C208" s="471" t="s">
        <v>532</v>
      </c>
      <c r="D208" s="552">
        <v>45413</v>
      </c>
      <c r="E208" s="365" t="s">
        <v>50</v>
      </c>
      <c r="F208" s="583"/>
      <c r="G208" s="426">
        <v>45245</v>
      </c>
      <c r="H208" s="457"/>
      <c r="I208" s="468" t="s">
        <v>533</v>
      </c>
      <c r="J208" s="336" t="s">
        <v>534</v>
      </c>
      <c r="K208" s="513">
        <v>1</v>
      </c>
      <c r="L208" s="458"/>
      <c r="M208" s="137">
        <f t="shared" si="42"/>
        <v>1</v>
      </c>
      <c r="N208" s="130"/>
      <c r="O208" s="584"/>
      <c r="P208" s="137">
        <f t="shared" si="43"/>
        <v>1</v>
      </c>
    </row>
    <row r="209" spans="1:16" s="9" customFormat="1" ht="35.25" customHeight="1" x14ac:dyDescent="0.25">
      <c r="A209" s="78"/>
      <c r="B209" s="132"/>
      <c r="C209" s="790" t="s">
        <v>535</v>
      </c>
      <c r="D209" s="552">
        <v>45413</v>
      </c>
      <c r="E209" s="365" t="s">
        <v>50</v>
      </c>
      <c r="F209" s="583"/>
      <c r="G209" s="426"/>
      <c r="H209" s="457"/>
      <c r="I209" s="468" t="s">
        <v>536</v>
      </c>
      <c r="J209" s="336" t="s">
        <v>335</v>
      </c>
      <c r="K209" s="513">
        <v>1</v>
      </c>
      <c r="L209" s="458"/>
      <c r="M209" s="137">
        <f t="shared" si="42"/>
        <v>1</v>
      </c>
      <c r="N209" s="130"/>
      <c r="O209" s="584"/>
      <c r="P209" s="137">
        <f t="shared" si="43"/>
        <v>1</v>
      </c>
    </row>
    <row r="210" spans="1:16" s="9" customFormat="1" ht="26.4" x14ac:dyDescent="0.25">
      <c r="A210" s="78"/>
      <c r="B210" s="132"/>
      <c r="C210" s="791"/>
      <c r="D210" s="552">
        <v>45413</v>
      </c>
      <c r="E210" s="365" t="s">
        <v>50</v>
      </c>
      <c r="F210" s="583"/>
      <c r="G210" s="426"/>
      <c r="H210" s="457"/>
      <c r="I210" s="468" t="s">
        <v>537</v>
      </c>
      <c r="J210" s="336" t="s">
        <v>538</v>
      </c>
      <c r="K210" s="513">
        <v>2</v>
      </c>
      <c r="L210" s="458"/>
      <c r="M210" s="137">
        <f t="shared" si="42"/>
        <v>2</v>
      </c>
      <c r="N210" s="130"/>
      <c r="O210" s="584"/>
      <c r="P210" s="137">
        <f t="shared" si="43"/>
        <v>2</v>
      </c>
    </row>
    <row r="211" spans="1:16" s="9" customFormat="1" ht="26.4" x14ac:dyDescent="0.25">
      <c r="A211" s="78"/>
      <c r="B211" s="132"/>
      <c r="C211" s="792"/>
      <c r="D211" s="552">
        <v>45413</v>
      </c>
      <c r="E211" s="365" t="s">
        <v>50</v>
      </c>
      <c r="F211" s="583"/>
      <c r="G211" s="426"/>
      <c r="H211" s="457"/>
      <c r="I211" s="468" t="s">
        <v>539</v>
      </c>
      <c r="J211" s="336" t="s">
        <v>438</v>
      </c>
      <c r="K211" s="513">
        <v>1</v>
      </c>
      <c r="L211" s="458"/>
      <c r="M211" s="137">
        <f t="shared" si="42"/>
        <v>1</v>
      </c>
      <c r="N211" s="130"/>
      <c r="O211" s="584"/>
      <c r="P211" s="137">
        <f t="shared" si="43"/>
        <v>1</v>
      </c>
    </row>
    <row r="212" spans="1:16" s="9" customFormat="1" ht="26.4" x14ac:dyDescent="0.25">
      <c r="A212" s="78"/>
      <c r="B212" s="132"/>
      <c r="C212" s="471" t="s">
        <v>542</v>
      </c>
      <c r="D212" s="552">
        <v>45413</v>
      </c>
      <c r="E212" s="365" t="s">
        <v>50</v>
      </c>
      <c r="F212" s="583"/>
      <c r="G212" s="426"/>
      <c r="H212" s="457"/>
      <c r="I212" s="468" t="s">
        <v>540</v>
      </c>
      <c r="J212" s="336" t="s">
        <v>541</v>
      </c>
      <c r="K212" s="513">
        <v>1</v>
      </c>
      <c r="L212" s="458"/>
      <c r="M212" s="137">
        <f t="shared" si="42"/>
        <v>1</v>
      </c>
      <c r="N212" s="130"/>
      <c r="O212" s="584"/>
      <c r="P212" s="137">
        <f t="shared" si="43"/>
        <v>1</v>
      </c>
    </row>
    <row r="213" spans="1:16" s="9" customFormat="1" ht="26.4" x14ac:dyDescent="0.25">
      <c r="A213" s="78"/>
      <c r="B213" s="132"/>
      <c r="C213" s="549" t="s">
        <v>566</v>
      </c>
      <c r="D213" s="552">
        <v>45422</v>
      </c>
      <c r="E213" s="365" t="s">
        <v>50</v>
      </c>
      <c r="F213" s="583"/>
      <c r="G213" s="426"/>
      <c r="H213" s="457"/>
      <c r="I213" s="468" t="s">
        <v>565</v>
      </c>
      <c r="J213" s="336" t="s">
        <v>534</v>
      </c>
      <c r="K213" s="513">
        <v>1</v>
      </c>
      <c r="L213" s="458"/>
      <c r="M213" s="137">
        <f t="shared" si="42"/>
        <v>1</v>
      </c>
      <c r="N213" s="130"/>
      <c r="O213" s="584"/>
      <c r="P213" s="137">
        <f t="shared" si="43"/>
        <v>1</v>
      </c>
    </row>
    <row r="214" spans="1:16" s="9" customFormat="1" ht="26.4" x14ac:dyDescent="0.25">
      <c r="A214" s="78"/>
      <c r="B214" s="132"/>
      <c r="C214" s="790" t="s">
        <v>547</v>
      </c>
      <c r="D214" s="552">
        <v>45361</v>
      </c>
      <c r="E214" s="365" t="s">
        <v>50</v>
      </c>
      <c r="F214" s="583"/>
      <c r="G214" s="426"/>
      <c r="H214" s="457"/>
      <c r="I214" s="468" t="s">
        <v>543</v>
      </c>
      <c r="J214" s="336" t="s">
        <v>544</v>
      </c>
      <c r="K214" s="513">
        <v>4</v>
      </c>
      <c r="L214" s="458"/>
      <c r="M214" s="137">
        <f t="shared" si="42"/>
        <v>4</v>
      </c>
      <c r="N214" s="130"/>
      <c r="O214" s="584"/>
      <c r="P214" s="137">
        <f t="shared" si="43"/>
        <v>4</v>
      </c>
    </row>
    <row r="215" spans="1:16" s="9" customFormat="1" ht="26.4" x14ac:dyDescent="0.25">
      <c r="A215" s="78"/>
      <c r="B215" s="132"/>
      <c r="C215" s="792"/>
      <c r="D215" s="552">
        <v>45361</v>
      </c>
      <c r="E215" s="365" t="s">
        <v>50</v>
      </c>
      <c r="F215" s="583"/>
      <c r="G215" s="426"/>
      <c r="H215" s="457"/>
      <c r="I215" s="468" t="s">
        <v>545</v>
      </c>
      <c r="J215" s="336" t="s">
        <v>546</v>
      </c>
      <c r="K215" s="513">
        <v>3</v>
      </c>
      <c r="L215" s="458"/>
      <c r="M215" s="137">
        <f t="shared" si="42"/>
        <v>3</v>
      </c>
      <c r="N215" s="130"/>
      <c r="O215" s="584"/>
      <c r="P215" s="137">
        <f t="shared" si="43"/>
        <v>3</v>
      </c>
    </row>
    <row r="216" spans="1:16" s="9" customFormat="1" ht="26.4" x14ac:dyDescent="0.25">
      <c r="A216" s="78"/>
      <c r="B216" s="132"/>
      <c r="C216" s="549" t="s">
        <v>548</v>
      </c>
      <c r="D216" s="552">
        <v>44967</v>
      </c>
      <c r="E216" s="365" t="s">
        <v>50</v>
      </c>
      <c r="F216" s="583"/>
      <c r="G216" s="426"/>
      <c r="H216" s="457"/>
      <c r="I216" s="468" t="s">
        <v>549</v>
      </c>
      <c r="J216" s="336" t="s">
        <v>550</v>
      </c>
      <c r="K216" s="513">
        <v>3</v>
      </c>
      <c r="L216" s="458"/>
      <c r="M216" s="137">
        <f t="shared" si="42"/>
        <v>3</v>
      </c>
      <c r="N216" s="130"/>
      <c r="O216" s="584"/>
      <c r="P216" s="137">
        <f t="shared" si="43"/>
        <v>3</v>
      </c>
    </row>
    <row r="217" spans="1:16" s="9" customFormat="1" ht="27" customHeight="1" x14ac:dyDescent="0.25">
      <c r="A217" s="78"/>
      <c r="B217" s="132"/>
      <c r="C217" s="549" t="s">
        <v>553</v>
      </c>
      <c r="D217" s="552">
        <v>44967</v>
      </c>
      <c r="E217" s="365" t="s">
        <v>50</v>
      </c>
      <c r="F217" s="583"/>
      <c r="G217" s="426"/>
      <c r="H217" s="457"/>
      <c r="I217" s="468" t="s">
        <v>551</v>
      </c>
      <c r="J217" s="336" t="s">
        <v>552</v>
      </c>
      <c r="K217" s="513">
        <v>2</v>
      </c>
      <c r="L217" s="458"/>
      <c r="M217" s="137">
        <f t="shared" si="42"/>
        <v>2</v>
      </c>
      <c r="N217" s="130"/>
      <c r="O217" s="584"/>
      <c r="P217" s="137">
        <f t="shared" si="43"/>
        <v>2</v>
      </c>
    </row>
    <row r="218" spans="1:16" s="9" customFormat="1" ht="30.75" customHeight="1" x14ac:dyDescent="0.25">
      <c r="A218" s="78"/>
      <c r="B218" s="132"/>
      <c r="C218" s="549" t="s">
        <v>596</v>
      </c>
      <c r="D218" s="552">
        <v>45383</v>
      </c>
      <c r="E218" s="365" t="s">
        <v>50</v>
      </c>
      <c r="F218" s="583"/>
      <c r="G218" s="426">
        <v>45261</v>
      </c>
      <c r="H218" s="457"/>
      <c r="I218" s="468" t="s">
        <v>595</v>
      </c>
      <c r="J218" s="336" t="s">
        <v>290</v>
      </c>
      <c r="K218" s="513">
        <v>8</v>
      </c>
      <c r="L218" s="458"/>
      <c r="M218" s="137">
        <f t="shared" ref="M218" si="44">K218</f>
        <v>8</v>
      </c>
      <c r="N218" s="130"/>
      <c r="O218" s="584"/>
      <c r="P218" s="137">
        <f t="shared" ref="P218" si="45">M218-N218</f>
        <v>8</v>
      </c>
    </row>
    <row r="219" spans="1:16" s="9" customFormat="1" ht="30.75" customHeight="1" x14ac:dyDescent="0.25">
      <c r="A219" s="78"/>
      <c r="B219" s="132"/>
      <c r="C219" s="790" t="s">
        <v>600</v>
      </c>
      <c r="D219" s="552">
        <v>45383</v>
      </c>
      <c r="E219" s="365" t="s">
        <v>50</v>
      </c>
      <c r="F219" s="583"/>
      <c r="G219" s="426">
        <v>45261</v>
      </c>
      <c r="H219" s="457"/>
      <c r="I219" s="468" t="s">
        <v>597</v>
      </c>
      <c r="J219" s="336" t="s">
        <v>599</v>
      </c>
      <c r="K219" s="513">
        <v>6</v>
      </c>
      <c r="L219" s="458"/>
      <c r="M219" s="137">
        <f t="shared" ref="M219:M220" si="46">K219</f>
        <v>6</v>
      </c>
      <c r="N219" s="130"/>
      <c r="O219" s="584"/>
      <c r="P219" s="137">
        <f t="shared" ref="P219:P220" si="47">M219-N219</f>
        <v>6</v>
      </c>
    </row>
    <row r="220" spans="1:16" s="9" customFormat="1" ht="21.75" customHeight="1" x14ac:dyDescent="0.25">
      <c r="A220" s="78"/>
      <c r="B220" s="132"/>
      <c r="C220" s="792"/>
      <c r="D220" s="552">
        <v>45383</v>
      </c>
      <c r="E220" s="365" t="s">
        <v>50</v>
      </c>
      <c r="F220" s="583"/>
      <c r="G220" s="426">
        <v>45261</v>
      </c>
      <c r="H220" s="457"/>
      <c r="I220" s="468" t="s">
        <v>598</v>
      </c>
      <c r="J220" s="336" t="s">
        <v>577</v>
      </c>
      <c r="K220" s="513">
        <v>3</v>
      </c>
      <c r="L220" s="458"/>
      <c r="M220" s="137">
        <f t="shared" si="46"/>
        <v>3</v>
      </c>
      <c r="N220" s="130"/>
      <c r="O220" s="584"/>
      <c r="P220" s="137">
        <f t="shared" si="47"/>
        <v>3</v>
      </c>
    </row>
    <row r="221" spans="1:16" s="9" customFormat="1" ht="27" customHeight="1" x14ac:dyDescent="0.25">
      <c r="A221" s="78"/>
      <c r="B221" s="132"/>
      <c r="C221" s="471" t="s">
        <v>647</v>
      </c>
      <c r="D221" s="552">
        <v>45017</v>
      </c>
      <c r="E221" s="365" t="s">
        <v>50</v>
      </c>
      <c r="F221" s="583"/>
      <c r="G221" s="426">
        <v>45267</v>
      </c>
      <c r="H221" s="457"/>
      <c r="I221" s="468" t="s">
        <v>645</v>
      </c>
      <c r="J221" s="336" t="s">
        <v>646</v>
      </c>
      <c r="K221" s="513">
        <v>2</v>
      </c>
      <c r="L221" s="458"/>
      <c r="M221" s="137">
        <f t="shared" ref="M221" si="48">K221</f>
        <v>2</v>
      </c>
      <c r="N221" s="130"/>
      <c r="O221" s="584"/>
      <c r="P221" s="137">
        <f t="shared" ref="P221" si="49">M221-N221</f>
        <v>2</v>
      </c>
    </row>
    <row r="222" spans="1:16" s="9" customFormat="1" ht="27" customHeight="1" x14ac:dyDescent="0.25">
      <c r="A222" s="78"/>
      <c r="B222" s="132"/>
      <c r="C222" s="467" t="s">
        <v>661</v>
      </c>
      <c r="D222" s="552">
        <v>45291</v>
      </c>
      <c r="E222" s="365" t="s">
        <v>50</v>
      </c>
      <c r="F222" s="583"/>
      <c r="G222" s="426">
        <v>45279</v>
      </c>
      <c r="H222" s="457"/>
      <c r="I222" s="468" t="s">
        <v>660</v>
      </c>
      <c r="J222" s="336" t="s">
        <v>521</v>
      </c>
      <c r="K222" s="513">
        <v>4</v>
      </c>
      <c r="L222" s="458"/>
      <c r="M222" s="137">
        <f t="shared" ref="M222" si="50">K222</f>
        <v>4</v>
      </c>
      <c r="N222" s="130"/>
      <c r="O222" s="584"/>
      <c r="P222" s="137">
        <f t="shared" ref="P222" si="51">M222-N222</f>
        <v>4</v>
      </c>
    </row>
    <row r="223" spans="1:16" s="9" customFormat="1" ht="32.25" customHeight="1" x14ac:dyDescent="0.25">
      <c r="A223" s="89"/>
      <c r="B223" s="379"/>
      <c r="C223" s="590" t="s">
        <v>465</v>
      </c>
      <c r="D223" s="455">
        <v>45361</v>
      </c>
      <c r="E223" s="428" t="s">
        <v>50</v>
      </c>
      <c r="F223" s="456"/>
      <c r="G223" s="83">
        <v>45205</v>
      </c>
      <c r="H223" s="457"/>
      <c r="I223" s="338" t="s">
        <v>466</v>
      </c>
      <c r="J223" s="335" t="s">
        <v>133</v>
      </c>
      <c r="K223" s="513">
        <v>1</v>
      </c>
      <c r="L223" s="458"/>
      <c r="M223" s="137">
        <f t="shared" si="42"/>
        <v>1</v>
      </c>
      <c r="N223" s="433">
        <v>1</v>
      </c>
      <c r="O223" s="438"/>
      <c r="P223" s="87">
        <f t="shared" si="43"/>
        <v>0</v>
      </c>
    </row>
    <row r="224" spans="1:16" s="9" customFormat="1" ht="17.25" customHeight="1" x14ac:dyDescent="0.25">
      <c r="A224" s="97"/>
      <c r="B224" s="334" t="s">
        <v>404</v>
      </c>
      <c r="C224" s="96"/>
      <c r="D224" s="98"/>
      <c r="E224" s="99"/>
      <c r="F224" s="100"/>
      <c r="G224" s="101"/>
      <c r="H224" s="102"/>
      <c r="I224" s="103"/>
      <c r="J224" s="105"/>
      <c r="K224" s="106"/>
      <c r="L224" s="53"/>
      <c r="M224" s="54"/>
      <c r="N224" s="55"/>
      <c r="O224" s="53"/>
      <c r="P224" s="54"/>
    </row>
    <row r="225" spans="1:16" s="1" customFormat="1" ht="30" customHeight="1" x14ac:dyDescent="0.25">
      <c r="A225" s="333"/>
      <c r="B225" s="377"/>
      <c r="C225" s="579" t="s">
        <v>134</v>
      </c>
      <c r="D225" s="559">
        <v>45261</v>
      </c>
      <c r="E225" s="560" t="s">
        <v>50</v>
      </c>
      <c r="F225" s="558"/>
      <c r="G225" s="437">
        <v>45187</v>
      </c>
      <c r="H225" s="421"/>
      <c r="I225" s="338" t="s">
        <v>405</v>
      </c>
      <c r="J225" s="335" t="s">
        <v>406</v>
      </c>
      <c r="K225" s="454">
        <v>1</v>
      </c>
      <c r="L225" s="420"/>
      <c r="M225" s="137">
        <f t="shared" ref="M225" si="52">K225</f>
        <v>1</v>
      </c>
      <c r="N225" s="433"/>
      <c r="O225" s="438"/>
      <c r="P225" s="87">
        <f t="shared" ref="P225" si="53">M225-N225</f>
        <v>1</v>
      </c>
    </row>
    <row r="226" spans="1:16" s="9" customFormat="1" ht="16.5" customHeight="1" x14ac:dyDescent="0.25">
      <c r="A226" s="97"/>
      <c r="B226" s="330" t="s">
        <v>662</v>
      </c>
      <c r="C226" s="98"/>
      <c r="D226" s="98"/>
      <c r="E226" s="99"/>
      <c r="F226" s="100"/>
      <c r="G226" s="101"/>
      <c r="H226" s="102"/>
      <c r="I226" s="103"/>
      <c r="J226" s="105"/>
      <c r="K226" s="106"/>
      <c r="L226" s="111"/>
      <c r="M226" s="54"/>
      <c r="N226" s="55"/>
      <c r="O226" s="111"/>
      <c r="P226" s="52"/>
    </row>
    <row r="227" spans="1:16" s="9" customFormat="1" ht="13.2" x14ac:dyDescent="0.25">
      <c r="A227" s="89"/>
      <c r="B227" s="379"/>
      <c r="C227" s="793" t="s">
        <v>666</v>
      </c>
      <c r="D227" s="455">
        <v>45455</v>
      </c>
      <c r="E227" s="560" t="s">
        <v>50</v>
      </c>
      <c r="F227" s="517"/>
      <c r="G227" s="83">
        <v>45279</v>
      </c>
      <c r="H227" s="457"/>
      <c r="I227" s="338" t="s">
        <v>663</v>
      </c>
      <c r="J227" s="335" t="s">
        <v>237</v>
      </c>
      <c r="K227" s="454">
        <v>8</v>
      </c>
      <c r="L227" s="458"/>
      <c r="M227" s="69">
        <f>K227</f>
        <v>8</v>
      </c>
      <c r="N227" s="363"/>
      <c r="O227" s="142"/>
      <c r="P227" s="87">
        <f t="shared" ref="P227" si="54">M227-N227</f>
        <v>8</v>
      </c>
    </row>
    <row r="228" spans="1:16" s="9" customFormat="1" ht="13.2" x14ac:dyDescent="0.25">
      <c r="A228" s="89"/>
      <c r="B228" s="379"/>
      <c r="C228" s="789"/>
      <c r="D228" s="455">
        <v>45455</v>
      </c>
      <c r="E228" s="560" t="s">
        <v>50</v>
      </c>
      <c r="F228" s="517"/>
      <c r="G228" s="83">
        <v>45279</v>
      </c>
      <c r="H228" s="457"/>
      <c r="I228" s="338" t="s">
        <v>664</v>
      </c>
      <c r="J228" s="335" t="s">
        <v>665</v>
      </c>
      <c r="K228" s="454">
        <v>8</v>
      </c>
      <c r="L228" s="458"/>
      <c r="M228" s="69">
        <f>K228</f>
        <v>8</v>
      </c>
      <c r="N228" s="363"/>
      <c r="O228" s="142"/>
      <c r="P228" s="87">
        <f t="shared" ref="P228" si="55">M228-N228</f>
        <v>8</v>
      </c>
    </row>
    <row r="229" spans="1:16" s="40" customFormat="1" ht="23.25" customHeight="1" x14ac:dyDescent="0.3">
      <c r="A229" s="339" t="s">
        <v>52</v>
      </c>
      <c r="B229" s="36"/>
      <c r="C229" s="37"/>
      <c r="D229" s="38"/>
      <c r="E229" s="38"/>
      <c r="F229" s="39"/>
      <c r="G229" s="39"/>
      <c r="H229" s="155"/>
      <c r="I229" s="203"/>
      <c r="J229" s="156"/>
      <c r="K229" s="157"/>
      <c r="L229" s="155"/>
      <c r="M229" s="158"/>
      <c r="N229" s="158"/>
      <c r="O229" s="155"/>
      <c r="P229" s="158"/>
    </row>
    <row r="230" spans="1:16" s="9" customFormat="1" ht="16.5" customHeight="1" x14ac:dyDescent="0.25">
      <c r="A230" s="97"/>
      <c r="B230" s="330" t="s">
        <v>61</v>
      </c>
      <c r="C230" s="96"/>
      <c r="D230" s="98"/>
      <c r="E230" s="98"/>
      <c r="F230" s="574">
        <f>SUM(F231:F233)</f>
        <v>348668.51</v>
      </c>
      <c r="G230" s="98"/>
      <c r="H230" s="102"/>
      <c r="I230" s="103"/>
      <c r="J230" s="105"/>
      <c r="K230" s="106"/>
      <c r="L230" s="53"/>
      <c r="M230" s="54"/>
      <c r="N230" s="55"/>
      <c r="O230" s="53"/>
      <c r="P230" s="54"/>
    </row>
    <row r="231" spans="1:16" s="1" customFormat="1" ht="39" customHeight="1" x14ac:dyDescent="0.25">
      <c r="A231" s="333"/>
      <c r="B231" s="377"/>
      <c r="C231" s="507" t="s">
        <v>128</v>
      </c>
      <c r="D231" s="350">
        <v>44280</v>
      </c>
      <c r="E231" s="341" t="s">
        <v>50</v>
      </c>
      <c r="F231" s="573">
        <v>348668.51</v>
      </c>
      <c r="G231" s="331">
        <v>44258</v>
      </c>
      <c r="H231" s="328"/>
      <c r="I231" s="468" t="s">
        <v>81</v>
      </c>
      <c r="J231" s="482" t="s">
        <v>80</v>
      </c>
      <c r="K231" s="378">
        <v>2</v>
      </c>
      <c r="L231" s="329"/>
      <c r="M231" s="69">
        <f>K231</f>
        <v>2</v>
      </c>
      <c r="N231" s="363"/>
      <c r="O231" s="142"/>
      <c r="P231" s="87">
        <f t="shared" ref="P231:P235" si="56">M231-N231</f>
        <v>2</v>
      </c>
    </row>
    <row r="232" spans="1:16" s="1" customFormat="1" ht="24.75" customHeight="1" x14ac:dyDescent="0.25">
      <c r="A232" s="333"/>
      <c r="B232" s="377"/>
      <c r="C232" s="343"/>
      <c r="D232" s="350">
        <v>45255</v>
      </c>
      <c r="E232" s="341" t="s">
        <v>50</v>
      </c>
      <c r="F232" s="580" t="s">
        <v>505</v>
      </c>
      <c r="G232" s="331">
        <v>45230</v>
      </c>
      <c r="H232" s="328"/>
      <c r="I232" s="468" t="s">
        <v>83</v>
      </c>
      <c r="J232" s="335" t="s">
        <v>506</v>
      </c>
      <c r="K232" s="378">
        <v>10</v>
      </c>
      <c r="L232" s="329"/>
      <c r="M232" s="137">
        <f t="shared" ref="M232:M235" si="57">K232</f>
        <v>10</v>
      </c>
      <c r="N232" s="449">
        <v>7</v>
      </c>
      <c r="O232" s="142"/>
      <c r="P232" s="137">
        <f t="shared" si="56"/>
        <v>3</v>
      </c>
    </row>
    <row r="233" spans="1:16" s="1" customFormat="1" ht="23.25" customHeight="1" x14ac:dyDescent="0.25">
      <c r="A233" s="333"/>
      <c r="B233" s="377"/>
      <c r="C233" s="343"/>
      <c r="D233" s="350">
        <v>45280</v>
      </c>
      <c r="E233" s="341" t="s">
        <v>50</v>
      </c>
      <c r="F233" s="580" t="s">
        <v>505</v>
      </c>
      <c r="G233" s="331">
        <v>45238</v>
      </c>
      <c r="H233" s="328"/>
      <c r="I233" s="468" t="s">
        <v>84</v>
      </c>
      <c r="J233" s="335" t="s">
        <v>527</v>
      </c>
      <c r="K233" s="378">
        <v>20</v>
      </c>
      <c r="L233" s="329"/>
      <c r="M233" s="87">
        <f t="shared" si="57"/>
        <v>20</v>
      </c>
      <c r="N233" s="449"/>
      <c r="O233" s="142"/>
      <c r="P233" s="137">
        <f t="shared" si="56"/>
        <v>20</v>
      </c>
    </row>
    <row r="234" spans="1:16" s="1" customFormat="1" ht="23.25" customHeight="1" x14ac:dyDescent="0.25">
      <c r="A234" s="333"/>
      <c r="B234" s="377"/>
      <c r="C234" s="522" t="s">
        <v>642</v>
      </c>
      <c r="D234" s="351">
        <v>45285</v>
      </c>
      <c r="E234" s="341" t="s">
        <v>50</v>
      </c>
      <c r="F234" s="580"/>
      <c r="G234" s="354">
        <v>45266</v>
      </c>
      <c r="H234" s="328"/>
      <c r="I234" s="468" t="s">
        <v>641</v>
      </c>
      <c r="J234" s="335" t="s">
        <v>411</v>
      </c>
      <c r="K234" s="443">
        <v>1</v>
      </c>
      <c r="L234" s="329"/>
      <c r="M234" s="87">
        <f t="shared" ref="M234" si="58">K234</f>
        <v>1</v>
      </c>
      <c r="N234" s="449">
        <v>1</v>
      </c>
      <c r="O234" s="142"/>
      <c r="P234" s="137">
        <f t="shared" ref="P234" si="59">M234-N234</f>
        <v>0</v>
      </c>
    </row>
    <row r="235" spans="1:16" s="1" customFormat="1" ht="40.5" customHeight="1" x14ac:dyDescent="0.25">
      <c r="A235" s="333"/>
      <c r="B235" s="377"/>
      <c r="C235" s="522" t="s">
        <v>494</v>
      </c>
      <c r="D235" s="351">
        <v>45280</v>
      </c>
      <c r="E235" s="341" t="s">
        <v>50</v>
      </c>
      <c r="F235" s="573"/>
      <c r="G235" s="354">
        <v>45224</v>
      </c>
      <c r="H235" s="328"/>
      <c r="I235" s="468" t="s">
        <v>495</v>
      </c>
      <c r="J235" s="562" t="s">
        <v>129</v>
      </c>
      <c r="K235" s="443">
        <v>4</v>
      </c>
      <c r="L235" s="329"/>
      <c r="M235" s="137">
        <f t="shared" si="57"/>
        <v>4</v>
      </c>
      <c r="N235" s="449">
        <v>4</v>
      </c>
      <c r="O235" s="142"/>
      <c r="P235" s="137">
        <f t="shared" si="56"/>
        <v>0</v>
      </c>
    </row>
    <row r="236" spans="1:16" s="9" customFormat="1" ht="17.25" customHeight="1" x14ac:dyDescent="0.25">
      <c r="A236" s="97"/>
      <c r="B236" s="369" t="s">
        <v>674</v>
      </c>
      <c r="C236" s="96"/>
      <c r="D236" s="98"/>
      <c r="E236" s="99"/>
      <c r="F236" s="100"/>
      <c r="G236" s="101"/>
      <c r="H236" s="102"/>
      <c r="I236" s="103"/>
      <c r="J236" s="105"/>
      <c r="K236" s="106"/>
      <c r="L236" s="53"/>
      <c r="M236" s="54"/>
      <c r="N236" s="55"/>
      <c r="O236" s="53"/>
      <c r="P236" s="54"/>
    </row>
    <row r="237" spans="1:16" s="9" customFormat="1" ht="27" customHeight="1" x14ac:dyDescent="0.25">
      <c r="A237" s="78"/>
      <c r="B237" s="132"/>
      <c r="C237" s="793" t="s">
        <v>682</v>
      </c>
      <c r="D237" s="620">
        <v>45289</v>
      </c>
      <c r="E237" s="620" t="s">
        <v>50</v>
      </c>
      <c r="F237" s="621"/>
      <c r="G237" s="73">
        <v>45286</v>
      </c>
      <c r="H237" s="457"/>
      <c r="I237" s="338" t="s">
        <v>675</v>
      </c>
      <c r="J237" s="335" t="s">
        <v>676</v>
      </c>
      <c r="K237" s="454">
        <v>2</v>
      </c>
      <c r="L237" s="458"/>
      <c r="M237" s="69">
        <f>K237</f>
        <v>2</v>
      </c>
      <c r="N237" s="363"/>
      <c r="O237" s="142"/>
      <c r="P237" s="87">
        <f t="shared" ref="P237" si="60">M237-N237</f>
        <v>2</v>
      </c>
    </row>
    <row r="238" spans="1:16" s="9" customFormat="1" ht="27" customHeight="1" x14ac:dyDescent="0.25">
      <c r="A238" s="78"/>
      <c r="B238" s="132"/>
      <c r="C238" s="794"/>
      <c r="D238" s="622">
        <v>45289</v>
      </c>
      <c r="E238" s="623" t="s">
        <v>50</v>
      </c>
      <c r="F238" s="624"/>
      <c r="G238" s="426">
        <v>45286</v>
      </c>
      <c r="H238" s="457"/>
      <c r="I238" s="338" t="s">
        <v>677</v>
      </c>
      <c r="J238" s="335" t="s">
        <v>676</v>
      </c>
      <c r="K238" s="454">
        <v>1</v>
      </c>
      <c r="L238" s="458"/>
      <c r="M238" s="137">
        <f t="shared" ref="M238:M240" si="61">K238</f>
        <v>1</v>
      </c>
      <c r="N238" s="363"/>
      <c r="O238" s="142"/>
      <c r="P238" s="87">
        <f t="shared" ref="P238:P240" si="62">M238-N238</f>
        <v>1</v>
      </c>
    </row>
    <row r="239" spans="1:16" s="9" customFormat="1" ht="27" customHeight="1" x14ac:dyDescent="0.25">
      <c r="A239" s="78"/>
      <c r="B239" s="132"/>
      <c r="C239" s="799" t="s">
        <v>683</v>
      </c>
      <c r="D239" s="622">
        <v>45289</v>
      </c>
      <c r="E239" s="623" t="s">
        <v>50</v>
      </c>
      <c r="F239" s="624"/>
      <c r="G239" s="426">
        <v>45286</v>
      </c>
      <c r="H239" s="457"/>
      <c r="I239" s="338" t="s">
        <v>678</v>
      </c>
      <c r="J239" s="335" t="s">
        <v>679</v>
      </c>
      <c r="K239" s="454">
        <v>1</v>
      </c>
      <c r="L239" s="458"/>
      <c r="M239" s="87">
        <f t="shared" si="61"/>
        <v>1</v>
      </c>
      <c r="N239" s="363"/>
      <c r="O239" s="142"/>
      <c r="P239" s="87">
        <f t="shared" si="62"/>
        <v>1</v>
      </c>
    </row>
    <row r="240" spans="1:16" s="9" customFormat="1" ht="27" customHeight="1" x14ac:dyDescent="0.25">
      <c r="A240" s="78"/>
      <c r="B240" s="132"/>
      <c r="C240" s="789"/>
      <c r="D240" s="625">
        <v>45289</v>
      </c>
      <c r="E240" s="626" t="s">
        <v>50</v>
      </c>
      <c r="F240" s="627"/>
      <c r="G240" s="422">
        <v>45286</v>
      </c>
      <c r="H240" s="457"/>
      <c r="I240" s="338" t="s">
        <v>680</v>
      </c>
      <c r="J240" s="335" t="s">
        <v>681</v>
      </c>
      <c r="K240" s="454">
        <v>1</v>
      </c>
      <c r="L240" s="458"/>
      <c r="M240" s="137">
        <f t="shared" si="61"/>
        <v>1</v>
      </c>
      <c r="N240" s="363"/>
      <c r="O240" s="142"/>
      <c r="P240" s="87">
        <f t="shared" si="62"/>
        <v>1</v>
      </c>
    </row>
    <row r="241" spans="1:16" s="9" customFormat="1" ht="15.75" customHeight="1" x14ac:dyDescent="0.25">
      <c r="A241" s="97"/>
      <c r="B241" s="369" t="s">
        <v>467</v>
      </c>
      <c r="C241" s="96"/>
      <c r="D241" s="98"/>
      <c r="E241" s="99"/>
      <c r="F241" s="100"/>
      <c r="G241" s="101"/>
      <c r="H241" s="102"/>
      <c r="I241" s="103"/>
      <c r="J241" s="105"/>
      <c r="K241" s="106"/>
      <c r="L241" s="53"/>
      <c r="M241" s="54"/>
      <c r="N241" s="55"/>
      <c r="O241" s="53"/>
      <c r="P241" s="54"/>
    </row>
    <row r="242" spans="1:16" s="9" customFormat="1" ht="27" customHeight="1" x14ac:dyDescent="0.25">
      <c r="A242" s="78"/>
      <c r="B242" s="140"/>
      <c r="C242" s="511" t="s">
        <v>391</v>
      </c>
      <c r="D242" s="350">
        <v>45197</v>
      </c>
      <c r="E242" s="341" t="s">
        <v>60</v>
      </c>
      <c r="F242" s="380"/>
      <c r="G242" s="331">
        <v>45166</v>
      </c>
      <c r="H242" s="141"/>
      <c r="I242" s="338" t="s">
        <v>388</v>
      </c>
      <c r="J242" s="336" t="s">
        <v>385</v>
      </c>
      <c r="K242" s="470">
        <v>2</v>
      </c>
      <c r="L242" s="142"/>
      <c r="M242" s="137">
        <f>K242</f>
        <v>2</v>
      </c>
      <c r="N242" s="164"/>
      <c r="O242" s="438"/>
      <c r="P242" s="137">
        <f t="shared" ref="P242:P244" si="63">M242-N242</f>
        <v>2</v>
      </c>
    </row>
    <row r="243" spans="1:16" s="9" customFormat="1" ht="27" customHeight="1" x14ac:dyDescent="0.25">
      <c r="A243" s="78"/>
      <c r="B243" s="140"/>
      <c r="C243" s="511" t="s">
        <v>392</v>
      </c>
      <c r="D243" s="350">
        <v>45197</v>
      </c>
      <c r="E243" s="341" t="s">
        <v>60</v>
      </c>
      <c r="F243" s="380"/>
      <c r="G243" s="331">
        <v>45166</v>
      </c>
      <c r="H243" s="141"/>
      <c r="I243" s="338" t="s">
        <v>389</v>
      </c>
      <c r="J243" s="336" t="s">
        <v>386</v>
      </c>
      <c r="K243" s="470">
        <v>2</v>
      </c>
      <c r="L243" s="142"/>
      <c r="M243" s="137">
        <f t="shared" ref="M243:M244" si="64">K243</f>
        <v>2</v>
      </c>
      <c r="N243" s="164"/>
      <c r="O243" s="438"/>
      <c r="P243" s="137">
        <f t="shared" si="63"/>
        <v>2</v>
      </c>
    </row>
    <row r="244" spans="1:16" s="9" customFormat="1" ht="27" customHeight="1" x14ac:dyDescent="0.25">
      <c r="A244" s="78"/>
      <c r="B244" s="140"/>
      <c r="C244" s="511" t="s">
        <v>393</v>
      </c>
      <c r="D244" s="350">
        <v>45197</v>
      </c>
      <c r="E244" s="341" t="s">
        <v>60</v>
      </c>
      <c r="F244" s="380"/>
      <c r="G244" s="331">
        <v>45166</v>
      </c>
      <c r="H244" s="141"/>
      <c r="I244" s="338" t="s">
        <v>390</v>
      </c>
      <c r="J244" s="336" t="s">
        <v>387</v>
      </c>
      <c r="K244" s="470">
        <v>2</v>
      </c>
      <c r="L244" s="142"/>
      <c r="M244" s="137">
        <f t="shared" si="64"/>
        <v>2</v>
      </c>
      <c r="N244" s="628">
        <v>2</v>
      </c>
      <c r="O244" s="438"/>
      <c r="P244" s="137">
        <f t="shared" si="63"/>
        <v>0</v>
      </c>
    </row>
    <row r="245" spans="1:16" s="9" customFormat="1" ht="15.75" customHeight="1" x14ac:dyDescent="0.25">
      <c r="A245" s="97"/>
      <c r="B245" s="330" t="s">
        <v>94</v>
      </c>
      <c r="C245" s="96"/>
      <c r="D245" s="98"/>
      <c r="E245" s="99"/>
      <c r="F245" s="100"/>
      <c r="G245" s="101"/>
      <c r="H245" s="102"/>
      <c r="I245" s="103"/>
      <c r="J245" s="105"/>
      <c r="K245" s="106"/>
      <c r="L245" s="53"/>
      <c r="M245" s="54"/>
      <c r="N245" s="55"/>
      <c r="O245" s="53"/>
      <c r="P245" s="54"/>
    </row>
    <row r="246" spans="1:16" s="9" customFormat="1" ht="42" customHeight="1" x14ac:dyDescent="0.25">
      <c r="A246" s="78"/>
      <c r="B246" s="140"/>
      <c r="C246" s="448" t="s">
        <v>468</v>
      </c>
      <c r="D246" s="350">
        <v>45260</v>
      </c>
      <c r="E246" s="341" t="s">
        <v>50</v>
      </c>
      <c r="F246" s="380"/>
      <c r="G246" s="331">
        <v>45190</v>
      </c>
      <c r="H246" s="141"/>
      <c r="I246" s="338" t="s">
        <v>422</v>
      </c>
      <c r="J246" s="335" t="s">
        <v>423</v>
      </c>
      <c r="K246" s="86">
        <v>1</v>
      </c>
      <c r="L246" s="142"/>
      <c r="M246" s="367">
        <v>1</v>
      </c>
      <c r="N246" s="88"/>
      <c r="O246" s="142"/>
      <c r="P246" s="87">
        <f t="shared" ref="P246" si="65">K246-N246</f>
        <v>1</v>
      </c>
    </row>
    <row r="247" spans="1:16" s="9" customFormat="1" ht="21" customHeight="1" x14ac:dyDescent="0.25">
      <c r="A247" s="97"/>
      <c r="B247" s="330" t="s">
        <v>66</v>
      </c>
      <c r="C247" s="96"/>
      <c r="D247" s="98"/>
      <c r="E247" s="98"/>
      <c r="F247" s="575">
        <f>F248</f>
        <v>34982.519999999997</v>
      </c>
      <c r="G247" s="101"/>
      <c r="H247" s="102"/>
      <c r="I247" s="103"/>
      <c r="J247" s="105"/>
      <c r="K247" s="106"/>
      <c r="L247" s="53"/>
      <c r="M247" s="112"/>
      <c r="N247" s="113"/>
      <c r="O247" s="53"/>
      <c r="P247" s="52"/>
    </row>
    <row r="248" spans="1:16" s="9" customFormat="1" ht="27" customHeight="1" x14ac:dyDescent="0.25">
      <c r="A248" s="78"/>
      <c r="B248" s="140"/>
      <c r="C248" s="448"/>
      <c r="D248" s="350"/>
      <c r="E248" s="341" t="s">
        <v>60</v>
      </c>
      <c r="F248" s="564">
        <v>34982.519999999997</v>
      </c>
      <c r="G248" s="331">
        <v>44665</v>
      </c>
      <c r="H248" s="141"/>
      <c r="I248" s="338" t="s">
        <v>105</v>
      </c>
      <c r="J248" s="482" t="s">
        <v>106</v>
      </c>
      <c r="K248" s="86">
        <v>1</v>
      </c>
      <c r="L248" s="142"/>
      <c r="M248" s="367">
        <v>1</v>
      </c>
      <c r="N248" s="88"/>
      <c r="O248" s="142"/>
      <c r="P248" s="87">
        <f t="shared" ref="P248" si="66">K248-N248</f>
        <v>1</v>
      </c>
    </row>
    <row r="249" spans="1:16" s="9" customFormat="1" ht="16.5" customHeight="1" x14ac:dyDescent="0.25">
      <c r="A249" s="97"/>
      <c r="B249" s="369" t="s">
        <v>45</v>
      </c>
      <c r="C249" s="96"/>
      <c r="D249" s="98"/>
      <c r="E249" s="99"/>
      <c r="F249" s="100"/>
      <c r="G249" s="101"/>
      <c r="H249" s="102"/>
      <c r="I249" s="103"/>
      <c r="J249" s="105"/>
      <c r="K249" s="106"/>
      <c r="L249" s="53"/>
      <c r="M249" s="71"/>
      <c r="N249" s="55"/>
      <c r="O249" s="53"/>
      <c r="P249" s="54"/>
    </row>
    <row r="250" spans="1:16" s="9" customFormat="1" ht="41.25" customHeight="1" x14ac:dyDescent="0.25">
      <c r="A250" s="375"/>
      <c r="B250" s="208"/>
      <c r="C250" s="548" t="s">
        <v>528</v>
      </c>
      <c r="D250" s="350"/>
      <c r="E250" s="337" t="s">
        <v>273</v>
      </c>
      <c r="F250" s="364"/>
      <c r="G250" s="390"/>
      <c r="H250" s="439"/>
      <c r="I250" s="338" t="s">
        <v>459</v>
      </c>
      <c r="J250" s="336" t="s">
        <v>458</v>
      </c>
      <c r="K250" s="406">
        <v>1</v>
      </c>
      <c r="L250" s="161"/>
      <c r="M250" s="137">
        <v>1</v>
      </c>
      <c r="N250" s="164"/>
      <c r="O250" s="438"/>
      <c r="P250" s="137">
        <f t="shared" ref="P250" si="67">M250-N250</f>
        <v>1</v>
      </c>
    </row>
    <row r="251" spans="1:16" s="9" customFormat="1" ht="20.25" customHeight="1" x14ac:dyDescent="0.25">
      <c r="A251" s="97"/>
      <c r="B251" s="462" t="s">
        <v>609</v>
      </c>
      <c r="C251" s="96"/>
      <c r="D251" s="98"/>
      <c r="E251" s="99"/>
      <c r="F251" s="575">
        <f>SUM(F262:F263)</f>
        <v>0</v>
      </c>
      <c r="G251" s="101"/>
      <c r="H251" s="463"/>
      <c r="I251" s="103"/>
      <c r="J251" s="105"/>
      <c r="K251" s="106"/>
      <c r="L251" s="464"/>
      <c r="M251" s="71"/>
      <c r="N251" s="55"/>
      <c r="O251" s="464"/>
      <c r="P251" s="465"/>
    </row>
    <row r="252" spans="1:16" s="9" customFormat="1" ht="16.5" customHeight="1" x14ac:dyDescent="0.25">
      <c r="A252" s="97"/>
      <c r="B252" s="334" t="s">
        <v>63</v>
      </c>
      <c r="C252" s="96"/>
      <c r="D252" s="98"/>
      <c r="E252" s="99"/>
      <c r="F252" s="100"/>
      <c r="G252" s="101"/>
      <c r="H252" s="102"/>
      <c r="I252" s="103"/>
      <c r="J252" s="105"/>
      <c r="K252" s="106"/>
      <c r="L252" s="53"/>
      <c r="M252" s="417"/>
      <c r="N252" s="418"/>
      <c r="O252" s="53"/>
      <c r="P252" s="54"/>
    </row>
    <row r="253" spans="1:16" s="9" customFormat="1" ht="27.75" customHeight="1" x14ac:dyDescent="0.25">
      <c r="A253" s="78"/>
      <c r="B253" s="79"/>
      <c r="C253" s="466"/>
      <c r="D253" s="426">
        <v>44620</v>
      </c>
      <c r="E253" s="341" t="s">
        <v>120</v>
      </c>
      <c r="F253" s="93"/>
      <c r="G253" s="94">
        <v>44902</v>
      </c>
      <c r="H253" s="429"/>
      <c r="I253" s="468" t="s">
        <v>140</v>
      </c>
      <c r="J253" s="336" t="s">
        <v>127</v>
      </c>
      <c r="K253" s="453">
        <v>1</v>
      </c>
      <c r="L253" s="430"/>
      <c r="M253" s="87">
        <f t="shared" ref="M253:M254" si="68">K253</f>
        <v>1</v>
      </c>
      <c r="N253" s="485"/>
      <c r="O253" s="430"/>
      <c r="P253" s="87">
        <f t="shared" ref="P253:P255" si="69">K253-N253</f>
        <v>1</v>
      </c>
    </row>
    <row r="254" spans="1:16" s="9" customFormat="1" ht="27.75" customHeight="1" x14ac:dyDescent="0.25">
      <c r="A254" s="78"/>
      <c r="B254" s="79"/>
      <c r="C254" s="466"/>
      <c r="D254" s="426">
        <v>45229</v>
      </c>
      <c r="E254" s="341" t="s">
        <v>120</v>
      </c>
      <c r="F254" s="93"/>
      <c r="G254" s="94">
        <v>45175</v>
      </c>
      <c r="H254" s="429"/>
      <c r="I254" s="468" t="s">
        <v>413</v>
      </c>
      <c r="J254" s="336" t="s">
        <v>412</v>
      </c>
      <c r="K254" s="453">
        <v>1</v>
      </c>
      <c r="L254" s="430"/>
      <c r="M254" s="87">
        <f t="shared" si="68"/>
        <v>1</v>
      </c>
      <c r="N254" s="485"/>
      <c r="O254" s="430"/>
      <c r="P254" s="87">
        <f t="shared" si="69"/>
        <v>1</v>
      </c>
    </row>
    <row r="255" spans="1:16" s="9" customFormat="1" ht="27.75" customHeight="1" x14ac:dyDescent="0.25">
      <c r="A255" s="78"/>
      <c r="B255" s="79"/>
      <c r="C255" s="511" t="s">
        <v>136</v>
      </c>
      <c r="D255" s="426">
        <v>44591</v>
      </c>
      <c r="E255" s="341" t="s">
        <v>120</v>
      </c>
      <c r="F255" s="93"/>
      <c r="G255" s="94">
        <v>44889</v>
      </c>
      <c r="H255" s="429"/>
      <c r="I255" s="468" t="s">
        <v>137</v>
      </c>
      <c r="J255" s="336" t="s">
        <v>135</v>
      </c>
      <c r="K255" s="453">
        <v>2</v>
      </c>
      <c r="L255" s="430"/>
      <c r="M255" s="87">
        <v>1</v>
      </c>
      <c r="N255" s="485"/>
      <c r="O255" s="430"/>
      <c r="P255" s="87">
        <f t="shared" si="69"/>
        <v>2</v>
      </c>
    </row>
    <row r="256" spans="1:16" s="9" customFormat="1" ht="16.5" customHeight="1" x14ac:dyDescent="0.25">
      <c r="A256" s="97"/>
      <c r="B256" s="334" t="s">
        <v>496</v>
      </c>
      <c r="C256" s="96"/>
      <c r="D256" s="98"/>
      <c r="E256" s="99"/>
      <c r="F256" s="100"/>
      <c r="G256" s="101"/>
      <c r="H256" s="102"/>
      <c r="I256" s="103"/>
      <c r="J256" s="105"/>
      <c r="K256" s="106"/>
      <c r="L256" s="53"/>
      <c r="M256" s="49"/>
      <c r="N256" s="55"/>
      <c r="O256" s="53"/>
      <c r="P256" s="54"/>
    </row>
    <row r="257" spans="1:16" s="9" customFormat="1" ht="27.75" customHeight="1" x14ac:dyDescent="0.25">
      <c r="A257" s="78"/>
      <c r="B257" s="79"/>
      <c r="C257" s="466" t="s">
        <v>497</v>
      </c>
      <c r="D257" s="426">
        <v>45280</v>
      </c>
      <c r="E257" s="341" t="s">
        <v>91</v>
      </c>
      <c r="F257" s="93"/>
      <c r="G257" s="94">
        <v>45224</v>
      </c>
      <c r="H257" s="429"/>
      <c r="I257" s="468" t="s">
        <v>498</v>
      </c>
      <c r="J257" s="336" t="s">
        <v>499</v>
      </c>
      <c r="K257" s="453">
        <v>1</v>
      </c>
      <c r="L257" s="430"/>
      <c r="M257" s="87">
        <f t="shared" ref="M257" si="70">K257</f>
        <v>1</v>
      </c>
      <c r="N257" s="485">
        <v>1</v>
      </c>
      <c r="O257" s="430"/>
      <c r="P257" s="87">
        <f t="shared" ref="P257:P259" si="71">K257-N257</f>
        <v>0</v>
      </c>
    </row>
    <row r="258" spans="1:16" s="9" customFormat="1" ht="27.75" customHeight="1" x14ac:dyDescent="0.25">
      <c r="A258" s="78"/>
      <c r="B258" s="79"/>
      <c r="C258" s="511" t="s">
        <v>624</v>
      </c>
      <c r="D258" s="426">
        <v>45275</v>
      </c>
      <c r="E258" s="341" t="s">
        <v>91</v>
      </c>
      <c r="F258" s="93"/>
      <c r="G258" s="94">
        <v>45265</v>
      </c>
      <c r="H258" s="429"/>
      <c r="I258" s="468" t="s">
        <v>623</v>
      </c>
      <c r="J258" s="336" t="s">
        <v>622</v>
      </c>
      <c r="K258" s="453">
        <v>1</v>
      </c>
      <c r="L258" s="430"/>
      <c r="M258" s="87">
        <v>1</v>
      </c>
      <c r="N258" s="485">
        <v>1</v>
      </c>
      <c r="O258" s="430"/>
      <c r="P258" s="87">
        <f t="shared" si="71"/>
        <v>0</v>
      </c>
    </row>
    <row r="259" spans="1:16" s="9" customFormat="1" ht="40.5" customHeight="1" x14ac:dyDescent="0.25">
      <c r="A259" s="78"/>
      <c r="B259" s="79"/>
      <c r="C259" s="511" t="s">
        <v>507</v>
      </c>
      <c r="D259" s="426">
        <v>45270</v>
      </c>
      <c r="E259" s="341" t="s">
        <v>508</v>
      </c>
      <c r="F259" s="93"/>
      <c r="G259" s="94">
        <v>45230</v>
      </c>
      <c r="H259" s="429"/>
      <c r="I259" s="468" t="s">
        <v>509</v>
      </c>
      <c r="J259" s="336" t="s">
        <v>510</v>
      </c>
      <c r="K259" s="453">
        <v>2</v>
      </c>
      <c r="L259" s="430"/>
      <c r="M259" s="87">
        <v>2</v>
      </c>
      <c r="N259" s="485">
        <v>1</v>
      </c>
      <c r="O259" s="430"/>
      <c r="P259" s="87">
        <f t="shared" si="71"/>
        <v>1</v>
      </c>
    </row>
    <row r="260" spans="1:16" s="9" customFormat="1" ht="16.5" customHeight="1" x14ac:dyDescent="0.25">
      <c r="A260" s="97"/>
      <c r="B260" s="369" t="s">
        <v>500</v>
      </c>
      <c r="C260" s="96"/>
      <c r="D260" s="98"/>
      <c r="E260" s="99"/>
      <c r="F260" s="100"/>
      <c r="G260" s="101"/>
      <c r="H260" s="102"/>
      <c r="I260" s="103"/>
      <c r="J260" s="105"/>
      <c r="K260" s="106"/>
      <c r="L260" s="53"/>
      <c r="M260" s="49"/>
      <c r="N260" s="55"/>
      <c r="O260" s="53"/>
      <c r="P260" s="54"/>
    </row>
    <row r="261" spans="1:16" s="9" customFormat="1" ht="27.75" customHeight="1" x14ac:dyDescent="0.25">
      <c r="A261" s="78"/>
      <c r="B261" s="79"/>
      <c r="C261" s="466" t="s">
        <v>501</v>
      </c>
      <c r="D261" s="426"/>
      <c r="E261" s="341" t="s">
        <v>502</v>
      </c>
      <c r="F261" s="93"/>
      <c r="G261" s="94">
        <v>45225</v>
      </c>
      <c r="H261" s="429"/>
      <c r="I261" s="468" t="s">
        <v>503</v>
      </c>
      <c r="J261" s="336" t="s">
        <v>504</v>
      </c>
      <c r="K261" s="453">
        <v>1</v>
      </c>
      <c r="L261" s="430"/>
      <c r="M261" s="87">
        <f t="shared" ref="M261" si="72">K261</f>
        <v>1</v>
      </c>
      <c r="N261" s="485">
        <v>1</v>
      </c>
      <c r="O261" s="430"/>
      <c r="P261" s="87">
        <f t="shared" ref="P261" si="73">K261-N261</f>
        <v>0</v>
      </c>
    </row>
    <row r="262" spans="1:16" s="9" customFormat="1" ht="24.75" customHeight="1" x14ac:dyDescent="0.25">
      <c r="A262" s="375"/>
      <c r="B262" s="208"/>
      <c r="C262" s="799" t="s">
        <v>602</v>
      </c>
      <c r="D262" s="80">
        <v>45342</v>
      </c>
      <c r="E262" s="337" t="s">
        <v>103</v>
      </c>
      <c r="F262" s="599" t="s">
        <v>601</v>
      </c>
      <c r="G262" s="390">
        <v>44766</v>
      </c>
      <c r="H262" s="439"/>
      <c r="I262" s="555" t="s">
        <v>104</v>
      </c>
      <c r="J262" s="481" t="s">
        <v>603</v>
      </c>
      <c r="K262" s="406">
        <v>1</v>
      </c>
      <c r="L262" s="161"/>
      <c r="M262" s="137">
        <v>1</v>
      </c>
      <c r="N262" s="164"/>
      <c r="O262" s="438"/>
      <c r="P262" s="137">
        <f t="shared" ref="P262:P263" si="74">M262-N262</f>
        <v>1</v>
      </c>
    </row>
    <row r="263" spans="1:16" s="9" customFormat="1" ht="24.75" customHeight="1" x14ac:dyDescent="0.25">
      <c r="A263" s="375"/>
      <c r="B263" s="208"/>
      <c r="C263" s="788"/>
      <c r="D263" s="350">
        <v>45342</v>
      </c>
      <c r="E263" s="337" t="s">
        <v>60</v>
      </c>
      <c r="F263" s="599" t="s">
        <v>601</v>
      </c>
      <c r="G263" s="390">
        <v>44851</v>
      </c>
      <c r="H263" s="439"/>
      <c r="I263" s="555" t="s">
        <v>87</v>
      </c>
      <c r="J263" s="481" t="s">
        <v>604</v>
      </c>
      <c r="K263" s="406">
        <v>1</v>
      </c>
      <c r="L263" s="161"/>
      <c r="M263" s="137">
        <f>K263</f>
        <v>1</v>
      </c>
      <c r="N263" s="164"/>
      <c r="O263" s="438"/>
      <c r="P263" s="137">
        <f t="shared" si="74"/>
        <v>1</v>
      </c>
    </row>
    <row r="264" spans="1:16" s="9" customFormat="1" ht="24.75" customHeight="1" x14ac:dyDescent="0.25">
      <c r="A264" s="375"/>
      <c r="B264" s="208"/>
      <c r="C264" s="788"/>
      <c r="D264" s="350">
        <v>45342</v>
      </c>
      <c r="E264" s="337" t="s">
        <v>60</v>
      </c>
      <c r="F264" s="564"/>
      <c r="G264" s="390">
        <v>45264</v>
      </c>
      <c r="H264" s="439"/>
      <c r="I264" s="600" t="s">
        <v>610</v>
      </c>
      <c r="J264" s="538" t="s">
        <v>605</v>
      </c>
      <c r="K264" s="406">
        <v>1</v>
      </c>
      <c r="L264" s="161"/>
      <c r="M264" s="137">
        <f t="shared" ref="M264:M265" si="75">K264</f>
        <v>1</v>
      </c>
      <c r="N264" s="164"/>
      <c r="O264" s="438"/>
      <c r="P264" s="137">
        <f t="shared" ref="P264:P265" si="76">M264-N264</f>
        <v>1</v>
      </c>
    </row>
    <row r="265" spans="1:16" s="9" customFormat="1" ht="24.75" customHeight="1" x14ac:dyDescent="0.25">
      <c r="A265" s="375"/>
      <c r="B265" s="208"/>
      <c r="C265" s="788"/>
      <c r="D265" s="350">
        <v>45342</v>
      </c>
      <c r="E265" s="337" t="s">
        <v>60</v>
      </c>
      <c r="F265" s="564"/>
      <c r="G265" s="390">
        <v>45264</v>
      </c>
      <c r="H265" s="439"/>
      <c r="I265" s="600" t="s">
        <v>611</v>
      </c>
      <c r="J265" s="538" t="s">
        <v>606</v>
      </c>
      <c r="K265" s="406">
        <v>1</v>
      </c>
      <c r="L265" s="161"/>
      <c r="M265" s="137">
        <f t="shared" si="75"/>
        <v>1</v>
      </c>
      <c r="N265" s="164"/>
      <c r="O265" s="438"/>
      <c r="P265" s="137">
        <f t="shared" si="76"/>
        <v>1</v>
      </c>
    </row>
    <row r="266" spans="1:16" s="9" customFormat="1" ht="24.75" customHeight="1" x14ac:dyDescent="0.25">
      <c r="A266" s="375"/>
      <c r="B266" s="208"/>
      <c r="C266" s="788"/>
      <c r="D266" s="350">
        <v>45342</v>
      </c>
      <c r="E266" s="337" t="s">
        <v>60</v>
      </c>
      <c r="F266" s="564"/>
      <c r="G266" s="390">
        <v>45264</v>
      </c>
      <c r="H266" s="439"/>
      <c r="I266" s="600" t="s">
        <v>612</v>
      </c>
      <c r="J266" s="538" t="s">
        <v>607</v>
      </c>
      <c r="K266" s="406">
        <v>1</v>
      </c>
      <c r="L266" s="161"/>
      <c r="M266" s="137">
        <f t="shared" ref="M266:M267" si="77">K266</f>
        <v>1</v>
      </c>
      <c r="N266" s="164"/>
      <c r="O266" s="438"/>
      <c r="P266" s="137">
        <f t="shared" ref="P266:P267" si="78">M266-N266</f>
        <v>1</v>
      </c>
    </row>
    <row r="267" spans="1:16" s="9" customFormat="1" ht="24.75" customHeight="1" x14ac:dyDescent="0.25">
      <c r="A267" s="375"/>
      <c r="B267" s="208"/>
      <c r="C267" s="789"/>
      <c r="D267" s="350">
        <v>45342</v>
      </c>
      <c r="E267" s="337" t="s">
        <v>60</v>
      </c>
      <c r="F267" s="564"/>
      <c r="G267" s="390">
        <v>45264</v>
      </c>
      <c r="H267" s="439"/>
      <c r="I267" s="600" t="s">
        <v>613</v>
      </c>
      <c r="J267" s="538" t="s">
        <v>608</v>
      </c>
      <c r="K267" s="406">
        <v>1</v>
      </c>
      <c r="L267" s="161"/>
      <c r="M267" s="137">
        <f t="shared" si="77"/>
        <v>1</v>
      </c>
      <c r="N267" s="164"/>
      <c r="O267" s="438"/>
      <c r="P267" s="137">
        <f t="shared" si="78"/>
        <v>1</v>
      </c>
    </row>
    <row r="268" spans="1:16" s="9" customFormat="1" ht="16.5" customHeight="1" x14ac:dyDescent="0.25">
      <c r="A268" s="97"/>
      <c r="B268" s="334" t="s">
        <v>79</v>
      </c>
      <c r="C268" s="96"/>
      <c r="D268" s="98"/>
      <c r="E268" s="99"/>
      <c r="F268" s="100"/>
      <c r="G268" s="101"/>
      <c r="H268" s="102"/>
      <c r="I268" s="103"/>
      <c r="J268" s="105"/>
      <c r="K268" s="106"/>
      <c r="L268" s="53"/>
      <c r="M268" s="49"/>
      <c r="N268" s="55"/>
      <c r="O268" s="53"/>
      <c r="P268" s="54"/>
    </row>
    <row r="269" spans="1:16" s="9" customFormat="1" ht="27.75" customHeight="1" x14ac:dyDescent="0.25">
      <c r="A269" s="78"/>
      <c r="B269" s="79"/>
      <c r="C269" s="790" t="s">
        <v>461</v>
      </c>
      <c r="D269" s="350">
        <v>45272</v>
      </c>
      <c r="E269" s="337" t="s">
        <v>50</v>
      </c>
      <c r="F269" s="563"/>
      <c r="G269" s="94">
        <v>45202</v>
      </c>
      <c r="H269" s="525"/>
      <c r="I269" s="338" t="s">
        <v>463</v>
      </c>
      <c r="J269" s="336" t="s">
        <v>462</v>
      </c>
      <c r="K269" s="470">
        <v>1</v>
      </c>
      <c r="L269" s="430"/>
      <c r="M269" s="87">
        <f>K269</f>
        <v>1</v>
      </c>
      <c r="N269" s="160">
        <v>1</v>
      </c>
      <c r="O269" s="91"/>
      <c r="P269" s="87">
        <f t="shared" ref="P269:P270" si="79">M269-N269</f>
        <v>0</v>
      </c>
    </row>
    <row r="270" spans="1:16" s="9" customFormat="1" ht="33.75" customHeight="1" x14ac:dyDescent="0.25">
      <c r="A270" s="78"/>
      <c r="B270" s="79"/>
      <c r="C270" s="791"/>
      <c r="D270" s="350">
        <v>45272</v>
      </c>
      <c r="E270" s="337" t="s">
        <v>50</v>
      </c>
      <c r="F270" s="563"/>
      <c r="G270" s="94">
        <v>45202</v>
      </c>
      <c r="H270" s="525"/>
      <c r="I270" s="338" t="s">
        <v>464</v>
      </c>
      <c r="J270" s="336" t="s">
        <v>462</v>
      </c>
      <c r="K270" s="470">
        <v>1</v>
      </c>
      <c r="L270" s="430"/>
      <c r="M270" s="87">
        <f>K270</f>
        <v>1</v>
      </c>
      <c r="N270" s="160"/>
      <c r="O270" s="91"/>
      <c r="P270" s="87">
        <f t="shared" si="79"/>
        <v>1</v>
      </c>
    </row>
    <row r="271" spans="1:16" s="9" customFormat="1" ht="15.75" customHeight="1" x14ac:dyDescent="0.25">
      <c r="A271" s="97"/>
      <c r="B271" s="334" t="s">
        <v>71</v>
      </c>
      <c r="C271" s="96"/>
      <c r="D271" s="98"/>
      <c r="E271" s="99"/>
      <c r="F271" s="100"/>
      <c r="G271" s="101"/>
      <c r="H271" s="102"/>
      <c r="I271" s="103"/>
      <c r="J271" s="104"/>
      <c r="K271" s="105"/>
      <c r="L271" s="106"/>
      <c r="M271" s="49"/>
      <c r="N271" s="55"/>
      <c r="O271" s="53"/>
      <c r="P271" s="54"/>
    </row>
    <row r="272" spans="1:16" s="1" customFormat="1" ht="27" customHeight="1" x14ac:dyDescent="0.25">
      <c r="A272" s="333"/>
      <c r="B272" s="377"/>
      <c r="C272" s="471"/>
      <c r="D272" s="350"/>
      <c r="E272" s="428" t="s">
        <v>60</v>
      </c>
      <c r="F272" s="445"/>
      <c r="G272" s="354"/>
      <c r="H272" s="421"/>
      <c r="I272" s="338" t="s">
        <v>85</v>
      </c>
      <c r="J272" s="336" t="s">
        <v>77</v>
      </c>
      <c r="K272" s="440">
        <v>0</v>
      </c>
      <c r="L272" s="444"/>
      <c r="M272" s="441">
        <f>K272</f>
        <v>0</v>
      </c>
      <c r="N272" s="427"/>
      <c r="O272" s="142"/>
      <c r="P272" s="352">
        <f>M272-N272</f>
        <v>0</v>
      </c>
    </row>
    <row r="273" spans="1:16" s="56" customFormat="1" ht="18" customHeight="1" x14ac:dyDescent="0.25">
      <c r="A273" s="41"/>
      <c r="B273" s="330" t="s">
        <v>89</v>
      </c>
      <c r="C273" s="96"/>
      <c r="D273" s="44"/>
      <c r="E273" s="45"/>
      <c r="F273" s="46"/>
      <c r="G273" s="47"/>
      <c r="H273" s="48"/>
      <c r="I273" s="49"/>
      <c r="J273" s="50"/>
      <c r="K273" s="51"/>
      <c r="L273" s="53"/>
      <c r="M273" s="49"/>
      <c r="N273" s="55"/>
      <c r="O273" s="53"/>
      <c r="P273" s="54"/>
    </row>
    <row r="274" spans="1:16" s="1" customFormat="1" ht="27" customHeight="1" x14ac:dyDescent="0.25">
      <c r="A274" s="333"/>
      <c r="B274" s="377"/>
      <c r="C274" s="791"/>
      <c r="D274" s="350">
        <v>44643</v>
      </c>
      <c r="E274" s="428" t="s">
        <v>91</v>
      </c>
      <c r="F274" s="445"/>
      <c r="G274" s="354">
        <v>44623</v>
      </c>
      <c r="H274" s="421"/>
      <c r="I274" s="338" t="s">
        <v>99</v>
      </c>
      <c r="J274" s="336" t="s">
        <v>96</v>
      </c>
      <c r="K274" s="440">
        <v>1</v>
      </c>
      <c r="L274" s="444"/>
      <c r="M274" s="441">
        <f t="shared" ref="M274:M276" si="80">K274</f>
        <v>1</v>
      </c>
      <c r="N274" s="427"/>
      <c r="O274" s="142"/>
      <c r="P274" s="352">
        <f t="shared" ref="P274:P276" si="81">M274-N274</f>
        <v>1</v>
      </c>
    </row>
    <row r="275" spans="1:16" s="1" customFormat="1" ht="27" customHeight="1" x14ac:dyDescent="0.25">
      <c r="A275" s="333"/>
      <c r="B275" s="377"/>
      <c r="C275" s="791"/>
      <c r="D275" s="350">
        <v>44643</v>
      </c>
      <c r="E275" s="428" t="s">
        <v>91</v>
      </c>
      <c r="F275" s="445"/>
      <c r="G275" s="354">
        <v>44623</v>
      </c>
      <c r="H275" s="421"/>
      <c r="I275" s="338" t="s">
        <v>100</v>
      </c>
      <c r="J275" s="336" t="s">
        <v>97</v>
      </c>
      <c r="K275" s="440">
        <v>1</v>
      </c>
      <c r="L275" s="444"/>
      <c r="M275" s="441">
        <f t="shared" si="80"/>
        <v>1</v>
      </c>
      <c r="N275" s="427"/>
      <c r="O275" s="142"/>
      <c r="P275" s="352">
        <f t="shared" si="81"/>
        <v>1</v>
      </c>
    </row>
    <row r="276" spans="1:16" s="1" customFormat="1" ht="27" customHeight="1" x14ac:dyDescent="0.25">
      <c r="A276" s="333"/>
      <c r="B276" s="377"/>
      <c r="C276" s="791"/>
      <c r="D276" s="350">
        <v>44643</v>
      </c>
      <c r="E276" s="428" t="s">
        <v>91</v>
      </c>
      <c r="F276" s="445"/>
      <c r="G276" s="354">
        <v>44623</v>
      </c>
      <c r="H276" s="421"/>
      <c r="I276" s="338" t="s">
        <v>101</v>
      </c>
      <c r="J276" s="336" t="s">
        <v>98</v>
      </c>
      <c r="K276" s="440">
        <v>1</v>
      </c>
      <c r="L276" s="444"/>
      <c r="M276" s="441">
        <f t="shared" si="80"/>
        <v>1</v>
      </c>
      <c r="N276" s="427"/>
      <c r="O276" s="142"/>
      <c r="P276" s="352">
        <f t="shared" si="81"/>
        <v>1</v>
      </c>
    </row>
    <row r="277" spans="1:16" s="56" customFormat="1" ht="18" customHeight="1" x14ac:dyDescent="0.25">
      <c r="A277" s="41"/>
      <c r="B277" s="330" t="s">
        <v>419</v>
      </c>
      <c r="C277" s="96"/>
      <c r="D277" s="44"/>
      <c r="E277" s="45"/>
      <c r="F277" s="46"/>
      <c r="G277" s="47"/>
      <c r="H277" s="48"/>
      <c r="I277" s="49"/>
      <c r="J277" s="50"/>
      <c r="K277" s="51"/>
      <c r="L277" s="53"/>
      <c r="M277" s="49"/>
      <c r="N277" s="55"/>
      <c r="O277" s="53"/>
      <c r="P277" s="54"/>
    </row>
    <row r="278" spans="1:16" s="1" customFormat="1" ht="27" customHeight="1" x14ac:dyDescent="0.25">
      <c r="A278" s="333"/>
      <c r="B278" s="377"/>
      <c r="C278" s="471"/>
      <c r="D278" s="350">
        <v>45220</v>
      </c>
      <c r="E278" s="428" t="s">
        <v>91</v>
      </c>
      <c r="F278" s="445"/>
      <c r="G278" s="354">
        <v>45190</v>
      </c>
      <c r="H278" s="421"/>
      <c r="I278" s="338" t="s">
        <v>420</v>
      </c>
      <c r="J278" s="451" t="s">
        <v>421</v>
      </c>
      <c r="K278" s="440">
        <v>2</v>
      </c>
      <c r="L278" s="444"/>
      <c r="M278" s="441">
        <v>2</v>
      </c>
      <c r="N278" s="427">
        <v>2</v>
      </c>
      <c r="O278" s="142"/>
      <c r="P278" s="352">
        <f>M278-N278</f>
        <v>0</v>
      </c>
    </row>
    <row r="279" spans="1:16" s="56" customFormat="1" ht="18" customHeight="1" x14ac:dyDescent="0.25">
      <c r="A279" s="41"/>
      <c r="B279" s="330" t="s">
        <v>69</v>
      </c>
      <c r="C279" s="96"/>
      <c r="D279" s="44"/>
      <c r="E279" s="45"/>
      <c r="F279" s="46"/>
      <c r="G279" s="47"/>
      <c r="H279" s="48"/>
      <c r="I279" s="49"/>
      <c r="J279" s="50"/>
      <c r="K279" s="51"/>
      <c r="L279" s="53"/>
      <c r="M279" s="49"/>
      <c r="N279" s="55"/>
      <c r="O279" s="53"/>
      <c r="P279" s="54"/>
    </row>
    <row r="280" spans="1:16" s="9" customFormat="1" ht="37.5" customHeight="1" x14ac:dyDescent="0.25">
      <c r="A280" s="78"/>
      <c r="B280" s="79"/>
      <c r="C280" s="591" t="s">
        <v>408</v>
      </c>
      <c r="D280" s="426">
        <v>45289</v>
      </c>
      <c r="E280" s="341" t="s">
        <v>50</v>
      </c>
      <c r="F280" s="535" t="s">
        <v>92</v>
      </c>
      <c r="G280" s="94">
        <v>45181</v>
      </c>
      <c r="H280" s="429"/>
      <c r="I280" s="405" t="s">
        <v>409</v>
      </c>
      <c r="J280" s="450" t="s">
        <v>410</v>
      </c>
      <c r="K280" s="593">
        <v>1</v>
      </c>
      <c r="L280" s="430"/>
      <c r="M280" s="441">
        <f t="shared" ref="M280:M283" si="82">K280</f>
        <v>1</v>
      </c>
      <c r="N280" s="427"/>
      <c r="O280" s="142"/>
      <c r="P280" s="352">
        <f t="shared" ref="P280:P283" si="83">M280-N280</f>
        <v>1</v>
      </c>
    </row>
    <row r="281" spans="1:16" s="9" customFormat="1" ht="27" customHeight="1" x14ac:dyDescent="0.25">
      <c r="A281" s="78"/>
      <c r="B281" s="79"/>
      <c r="C281" s="597" t="s">
        <v>556</v>
      </c>
      <c r="D281" s="426">
        <v>45290</v>
      </c>
      <c r="E281" s="341" t="s">
        <v>50</v>
      </c>
      <c r="F281" s="619" t="s">
        <v>670</v>
      </c>
      <c r="G281" s="94">
        <v>45244</v>
      </c>
      <c r="H281" s="429"/>
      <c r="I281" s="468" t="s">
        <v>557</v>
      </c>
      <c r="J281" s="336" t="s">
        <v>558</v>
      </c>
      <c r="K281" s="453">
        <v>1</v>
      </c>
      <c r="L281" s="430"/>
      <c r="M281" s="441">
        <f t="shared" si="82"/>
        <v>1</v>
      </c>
      <c r="N281" s="427">
        <v>1</v>
      </c>
      <c r="O281" s="142"/>
      <c r="P281" s="352">
        <f t="shared" si="83"/>
        <v>0</v>
      </c>
    </row>
    <row r="282" spans="1:16" s="9" customFormat="1" ht="55.5" customHeight="1" x14ac:dyDescent="0.25">
      <c r="A282" s="78"/>
      <c r="B282" s="79"/>
      <c r="C282" s="597" t="s">
        <v>639</v>
      </c>
      <c r="D282" s="426">
        <v>45396</v>
      </c>
      <c r="E282" s="341" t="s">
        <v>50</v>
      </c>
      <c r="F282" s="594"/>
      <c r="G282" s="94">
        <v>45267</v>
      </c>
      <c r="H282" s="429"/>
      <c r="I282" s="468" t="s">
        <v>640</v>
      </c>
      <c r="J282" s="336" t="s">
        <v>638</v>
      </c>
      <c r="K282" s="453">
        <v>1</v>
      </c>
      <c r="L282" s="430"/>
      <c r="M282" s="441">
        <f t="shared" ref="M282" si="84">K282</f>
        <v>1</v>
      </c>
      <c r="N282" s="427"/>
      <c r="O282" s="142"/>
      <c r="P282" s="352">
        <f t="shared" ref="P282" si="85">M282-N282</f>
        <v>1</v>
      </c>
    </row>
    <row r="283" spans="1:16" s="1" customFormat="1" ht="38.25" customHeight="1" x14ac:dyDescent="0.25">
      <c r="A283" s="333"/>
      <c r="B283" s="377"/>
      <c r="C283" s="592" t="s">
        <v>554</v>
      </c>
      <c r="D283" s="350">
        <v>45365</v>
      </c>
      <c r="E283" s="428" t="s">
        <v>50</v>
      </c>
      <c r="F283" s="445"/>
      <c r="G283" s="354">
        <v>45244</v>
      </c>
      <c r="H283" s="421"/>
      <c r="I283" s="468" t="s">
        <v>555</v>
      </c>
      <c r="J283" s="336" t="s">
        <v>635</v>
      </c>
      <c r="K283" s="440">
        <v>1</v>
      </c>
      <c r="L283" s="444"/>
      <c r="M283" s="441">
        <f t="shared" si="82"/>
        <v>1</v>
      </c>
      <c r="N283" s="427"/>
      <c r="O283" s="142"/>
      <c r="P283" s="352">
        <f t="shared" si="83"/>
        <v>1</v>
      </c>
    </row>
    <row r="284" spans="1:16" s="9" customFormat="1" ht="20.25" customHeight="1" x14ac:dyDescent="0.25">
      <c r="A284" s="97"/>
      <c r="B284" s="330" t="s">
        <v>274</v>
      </c>
      <c r="C284" s="96"/>
      <c r="D284" s="98"/>
      <c r="E284" s="99"/>
      <c r="F284" s="100"/>
      <c r="G284" s="101"/>
      <c r="H284" s="102"/>
      <c r="I284" s="103"/>
      <c r="J284" s="105"/>
      <c r="K284" s="106"/>
      <c r="L284" s="53"/>
      <c r="M284" s="49"/>
      <c r="N284" s="55"/>
      <c r="O284" s="53"/>
      <c r="P284" s="54"/>
    </row>
    <row r="285" spans="1:16" s="9" customFormat="1" ht="30.75" customHeight="1" x14ac:dyDescent="0.25">
      <c r="A285" s="78"/>
      <c r="B285" s="79"/>
      <c r="C285" s="591"/>
      <c r="D285" s="426"/>
      <c r="E285" s="341" t="s">
        <v>50</v>
      </c>
      <c r="F285" s="93"/>
      <c r="G285" s="94">
        <v>45244</v>
      </c>
      <c r="H285" s="429"/>
      <c r="I285" s="405" t="s">
        <v>564</v>
      </c>
      <c r="J285" s="450" t="s">
        <v>563</v>
      </c>
      <c r="K285" s="593">
        <v>1</v>
      </c>
      <c r="L285" s="430"/>
      <c r="M285" s="441">
        <f>K285</f>
        <v>1</v>
      </c>
      <c r="N285" s="427">
        <v>1</v>
      </c>
      <c r="O285" s="142"/>
      <c r="P285" s="352">
        <f>K285-N285</f>
        <v>0</v>
      </c>
    </row>
    <row r="286" spans="1:16" s="56" customFormat="1" ht="18.75" customHeight="1" x14ac:dyDescent="0.25">
      <c r="A286" s="41"/>
      <c r="B286" s="330" t="s">
        <v>342</v>
      </c>
      <c r="C286" s="96"/>
      <c r="D286" s="44"/>
      <c r="E286" s="44"/>
      <c r="F286" s="46"/>
      <c r="G286" s="47"/>
      <c r="H286" s="48"/>
      <c r="I286" s="49"/>
      <c r="J286" s="50"/>
      <c r="K286" s="51"/>
      <c r="L286" s="53"/>
      <c r="M286" s="49"/>
      <c r="N286" s="55"/>
      <c r="O286" s="53"/>
      <c r="P286" s="54"/>
    </row>
    <row r="287" spans="1:16" s="154" customFormat="1" ht="27.75" customHeight="1" x14ac:dyDescent="0.25">
      <c r="A287" s="143" t="s">
        <v>3</v>
      </c>
      <c r="B287" s="144"/>
      <c r="C287" s="145"/>
      <c r="D287" s="146"/>
      <c r="E287" s="146"/>
      <c r="F287" s="147"/>
      <c r="G287" s="147"/>
      <c r="H287" s="370"/>
      <c r="I287" s="149"/>
      <c r="J287" s="184"/>
      <c r="K287" s="150"/>
      <c r="L287" s="152"/>
      <c r="M287" s="153"/>
      <c r="N287" s="151"/>
      <c r="O287" s="152"/>
      <c r="P287" s="153"/>
    </row>
    <row r="288" spans="1:16" s="40" customFormat="1" ht="24" customHeight="1" x14ac:dyDescent="0.3">
      <c r="A288" s="339" t="s">
        <v>55</v>
      </c>
      <c r="B288" s="36"/>
      <c r="C288" s="37"/>
      <c r="D288" s="38"/>
      <c r="E288" s="38"/>
      <c r="F288" s="39"/>
      <c r="G288" s="39"/>
      <c r="H288" s="197"/>
      <c r="I288" s="198"/>
      <c r="J288" s="156"/>
      <c r="K288" s="157"/>
      <c r="L288" s="197"/>
      <c r="M288" s="158"/>
      <c r="N288" s="158"/>
      <c r="O288" s="197"/>
      <c r="P288" s="158"/>
    </row>
    <row r="289" spans="1:19" s="1" customFormat="1" ht="38.25" customHeight="1" x14ac:dyDescent="0.25">
      <c r="A289" s="539"/>
      <c r="B289" s="540"/>
      <c r="C289" s="472" t="s">
        <v>302</v>
      </c>
      <c r="D289" s="350">
        <v>44803</v>
      </c>
      <c r="E289" s="341" t="s">
        <v>301</v>
      </c>
      <c r="F289" s="542" t="s">
        <v>314</v>
      </c>
      <c r="G289" s="331">
        <v>45099</v>
      </c>
      <c r="H289" s="541"/>
      <c r="I289" s="338" t="s">
        <v>110</v>
      </c>
      <c r="J289" s="336" t="s">
        <v>109</v>
      </c>
      <c r="K289" s="470">
        <v>6</v>
      </c>
      <c r="L289" s="543"/>
      <c r="M289" s="352">
        <v>1</v>
      </c>
      <c r="N289" s="544"/>
      <c r="O289" s="545"/>
      <c r="P289" s="352">
        <v>1</v>
      </c>
      <c r="Q289" s="515" t="s">
        <v>303</v>
      </c>
    </row>
    <row r="290" spans="1:19" s="1" customFormat="1" ht="63.75" customHeight="1" x14ac:dyDescent="0.25">
      <c r="A290" s="333"/>
      <c r="B290" s="377"/>
      <c r="C290" s="550" t="s">
        <v>347</v>
      </c>
      <c r="D290" s="351">
        <v>45193</v>
      </c>
      <c r="E290" s="337" t="s">
        <v>60</v>
      </c>
      <c r="F290" s="484" t="s">
        <v>394</v>
      </c>
      <c r="G290" s="354">
        <v>45138</v>
      </c>
      <c r="H290" s="551"/>
      <c r="I290" s="338" t="s">
        <v>132</v>
      </c>
      <c r="J290" s="336" t="s">
        <v>346</v>
      </c>
      <c r="K290" s="343">
        <v>2</v>
      </c>
      <c r="L290" s="543"/>
      <c r="M290" s="352">
        <f t="shared" ref="M290" si="86">K290</f>
        <v>2</v>
      </c>
      <c r="N290" s="629">
        <v>2</v>
      </c>
      <c r="O290" s="545"/>
      <c r="P290" s="352">
        <f t="shared" ref="P290" si="87">K290-N290</f>
        <v>0</v>
      </c>
      <c r="Q290" s="515" t="s">
        <v>348</v>
      </c>
      <c r="S290" s="601" t="s">
        <v>659</v>
      </c>
    </row>
    <row r="291" spans="1:19" s="154" customFormat="1" ht="22.65" customHeight="1" x14ac:dyDescent="0.25">
      <c r="A291" s="340" t="s">
        <v>78</v>
      </c>
      <c r="B291" s="144"/>
      <c r="C291" s="145"/>
      <c r="D291" s="146"/>
      <c r="E291" s="146"/>
      <c r="F291" s="147"/>
      <c r="G291" s="147"/>
      <c r="H291" s="370"/>
      <c r="I291" s="149"/>
      <c r="J291" s="184"/>
      <c r="K291" s="150"/>
      <c r="L291" s="152"/>
      <c r="M291" s="153"/>
      <c r="N291" s="151"/>
      <c r="O291" s="152"/>
      <c r="P291" s="153"/>
      <c r="Q291" s="537" t="s">
        <v>284</v>
      </c>
    </row>
    <row r="292" spans="1:19" s="40" customFormat="1" ht="23.25" customHeight="1" x14ac:dyDescent="0.3">
      <c r="A292" s="199" t="s">
        <v>22</v>
      </c>
      <c r="B292" s="200"/>
      <c r="C292" s="201"/>
      <c r="D292" s="407"/>
      <c r="E292" s="407"/>
      <c r="F292" s="408"/>
      <c r="G292" s="408"/>
      <c r="H292" s="155"/>
      <c r="I292" s="198"/>
      <c r="J292" s="409"/>
      <c r="K292" s="204"/>
      <c r="L292" s="155"/>
      <c r="M292" s="159"/>
      <c r="N292" s="159"/>
      <c r="O292" s="155"/>
      <c r="P292" s="159"/>
    </row>
    <row r="293" spans="1:19" s="121" customFormat="1" ht="13.2" hidden="1" x14ac:dyDescent="0.25">
      <c r="A293" s="78"/>
      <c r="B293" s="814"/>
      <c r="C293" s="815"/>
      <c r="D293" s="80"/>
      <c r="E293" s="81"/>
      <c r="F293" s="82"/>
      <c r="G293" s="83"/>
      <c r="H293" s="90"/>
      <c r="I293" s="84"/>
      <c r="J293" s="85"/>
      <c r="K293" s="86"/>
      <c r="L293" s="91"/>
      <c r="M293" s="87">
        <f>K293</f>
        <v>0</v>
      </c>
      <c r="N293" s="88"/>
      <c r="O293" s="91"/>
      <c r="P293" s="87">
        <f t="shared" ref="P293:P296" si="88">K293-N293</f>
        <v>0</v>
      </c>
    </row>
    <row r="294" spans="1:19" s="121" customFormat="1" ht="13.2" hidden="1" x14ac:dyDescent="0.25">
      <c r="A294" s="78"/>
      <c r="B294" s="814"/>
      <c r="C294" s="815"/>
      <c r="D294" s="80"/>
      <c r="E294" s="81"/>
      <c r="F294" s="82"/>
      <c r="G294" s="83"/>
      <c r="H294" s="134"/>
      <c r="I294" s="84"/>
      <c r="J294" s="85"/>
      <c r="K294" s="86"/>
      <c r="L294" s="135"/>
      <c r="M294" s="87">
        <f>K294</f>
        <v>0</v>
      </c>
      <c r="N294" s="88"/>
      <c r="O294" s="135"/>
      <c r="P294" s="87">
        <f t="shared" si="88"/>
        <v>0</v>
      </c>
    </row>
    <row r="295" spans="1:19" s="121" customFormat="1" ht="28.5" hidden="1" customHeight="1" x14ac:dyDescent="0.25">
      <c r="A295" s="78"/>
      <c r="B295" s="814"/>
      <c r="C295" s="815"/>
      <c r="D295" s="80"/>
      <c r="E295" s="81"/>
      <c r="F295" s="82"/>
      <c r="G295" s="83"/>
      <c r="H295" s="90"/>
      <c r="I295" s="84"/>
      <c r="J295" s="85"/>
      <c r="K295" s="86"/>
      <c r="L295" s="91"/>
      <c r="M295" s="87">
        <f>K295</f>
        <v>0</v>
      </c>
      <c r="N295" s="88"/>
      <c r="O295" s="91"/>
      <c r="P295" s="87">
        <f t="shared" si="88"/>
        <v>0</v>
      </c>
    </row>
    <row r="296" spans="1:19" s="121" customFormat="1" ht="29.25" hidden="1" customHeight="1" x14ac:dyDescent="0.25">
      <c r="A296" s="78"/>
      <c r="B296" s="816"/>
      <c r="C296" s="817"/>
      <c r="D296" s="80"/>
      <c r="E296" s="81"/>
      <c r="F296" s="82"/>
      <c r="G296" s="83"/>
      <c r="H296" s="90"/>
      <c r="I296" s="84"/>
      <c r="J296" s="85"/>
      <c r="K296" s="86"/>
      <c r="L296" s="91"/>
      <c r="M296" s="87">
        <f>K296</f>
        <v>0</v>
      </c>
      <c r="N296" s="88"/>
      <c r="O296" s="91"/>
      <c r="P296" s="87">
        <f t="shared" si="88"/>
        <v>0</v>
      </c>
    </row>
    <row r="297" spans="1:19" s="154" customFormat="1" ht="22.65" customHeight="1" x14ac:dyDescent="0.25">
      <c r="A297" s="143" t="s">
        <v>26</v>
      </c>
      <c r="B297" s="144"/>
      <c r="C297" s="145"/>
      <c r="D297" s="146"/>
      <c r="E297" s="146"/>
      <c r="F297" s="147"/>
      <c r="G297" s="147"/>
      <c r="H297" s="370"/>
      <c r="I297" s="149"/>
      <c r="J297" s="184"/>
      <c r="K297" s="150"/>
      <c r="L297" s="152"/>
      <c r="M297" s="153"/>
      <c r="N297" s="151"/>
      <c r="O297" s="152"/>
      <c r="P297" s="153"/>
    </row>
    <row r="298" spans="1:19" s="40" customFormat="1" ht="20.25" customHeight="1" x14ac:dyDescent="0.3">
      <c r="A298" s="339" t="s">
        <v>46</v>
      </c>
      <c r="B298" s="396"/>
      <c r="C298" s="397"/>
      <c r="D298" s="398"/>
      <c r="E298" s="398"/>
      <c r="F298" s="399"/>
      <c r="G298" s="399"/>
      <c r="H298" s="400"/>
      <c r="I298" s="401"/>
      <c r="J298" s="402"/>
      <c r="K298" s="403"/>
      <c r="L298" s="400"/>
      <c r="M298" s="404"/>
      <c r="N298" s="404"/>
      <c r="O298" s="400"/>
      <c r="P298" s="404"/>
    </row>
    <row r="299" spans="1:19" s="121" customFormat="1" ht="24" customHeight="1" x14ac:dyDescent="0.25">
      <c r="A299" s="78"/>
      <c r="B299" s="78"/>
      <c r="C299" s="523" t="s">
        <v>1</v>
      </c>
      <c r="D299" s="426"/>
      <c r="E299" s="337" t="s">
        <v>49</v>
      </c>
      <c r="F299" s="93"/>
      <c r="G299" s="94">
        <v>43809</v>
      </c>
      <c r="H299" s="90"/>
      <c r="I299" s="392" t="s">
        <v>64</v>
      </c>
      <c r="J299" s="393" t="s">
        <v>65</v>
      </c>
      <c r="K299" s="582">
        <v>1</v>
      </c>
      <c r="L299" s="347"/>
      <c r="M299" s="394">
        <f>K299</f>
        <v>1</v>
      </c>
      <c r="N299" s="395"/>
      <c r="O299" s="347"/>
      <c r="P299" s="394">
        <f t="shared" ref="P299:P312" si="89">K299-N299</f>
        <v>1</v>
      </c>
    </row>
    <row r="300" spans="1:19" s="121" customFormat="1" ht="24" customHeight="1" x14ac:dyDescent="0.25">
      <c r="A300" s="78"/>
      <c r="B300" s="78"/>
      <c r="C300" s="523"/>
      <c r="D300" s="426"/>
      <c r="E300" s="337" t="s">
        <v>383</v>
      </c>
      <c r="F300" s="93"/>
      <c r="G300" s="94">
        <v>45238</v>
      </c>
      <c r="H300" s="90"/>
      <c r="I300" s="602" t="s">
        <v>516</v>
      </c>
      <c r="J300" s="581" t="s">
        <v>517</v>
      </c>
      <c r="K300" s="582">
        <v>1</v>
      </c>
      <c r="L300" s="347"/>
      <c r="M300" s="394">
        <f>K300</f>
        <v>1</v>
      </c>
      <c r="N300" s="395"/>
      <c r="O300" s="347"/>
      <c r="P300" s="394">
        <f t="shared" si="89"/>
        <v>1</v>
      </c>
    </row>
    <row r="301" spans="1:19" s="121" customFormat="1" ht="24" customHeight="1" x14ac:dyDescent="0.25">
      <c r="A301" s="78"/>
      <c r="B301" s="78"/>
      <c r="C301" s="523"/>
      <c r="D301" s="426"/>
      <c r="E301" s="337" t="s">
        <v>383</v>
      </c>
      <c r="F301" s="93"/>
      <c r="G301" s="354">
        <v>45245</v>
      </c>
      <c r="H301" s="90"/>
      <c r="I301" s="603" t="s">
        <v>531</v>
      </c>
      <c r="J301" s="588" t="s">
        <v>530</v>
      </c>
      <c r="K301" s="589">
        <v>1</v>
      </c>
      <c r="L301" s="347"/>
      <c r="M301" s="394">
        <f>K301</f>
        <v>1</v>
      </c>
      <c r="N301" s="395"/>
      <c r="O301" s="347"/>
      <c r="P301" s="394">
        <f t="shared" si="89"/>
        <v>1</v>
      </c>
    </row>
    <row r="302" spans="1:19" s="121" customFormat="1" ht="23.25" customHeight="1" x14ac:dyDescent="0.25">
      <c r="A302" s="78"/>
      <c r="B302" s="78"/>
      <c r="C302" s="182"/>
      <c r="D302" s="80"/>
      <c r="E302" s="341" t="s">
        <v>49</v>
      </c>
      <c r="F302" s="82"/>
      <c r="G302" s="83">
        <v>43648</v>
      </c>
      <c r="H302" s="90"/>
      <c r="I302" s="344"/>
      <c r="J302" s="345" t="s">
        <v>62</v>
      </c>
      <c r="K302" s="346">
        <v>1</v>
      </c>
      <c r="L302" s="347"/>
      <c r="M302" s="348">
        <f>K302</f>
        <v>1</v>
      </c>
      <c r="N302" s="349"/>
      <c r="O302" s="347"/>
      <c r="P302" s="394">
        <f t="shared" si="89"/>
        <v>1</v>
      </c>
    </row>
    <row r="303" spans="1:19" s="121" customFormat="1" ht="25.5" customHeight="1" x14ac:dyDescent="0.25">
      <c r="A303" s="78"/>
      <c r="B303" s="78"/>
      <c r="C303" s="182"/>
      <c r="D303" s="80"/>
      <c r="E303" s="341" t="s">
        <v>49</v>
      </c>
      <c r="F303" s="82"/>
      <c r="G303" s="452">
        <v>44776</v>
      </c>
      <c r="H303" s="90"/>
      <c r="I303" s="344" t="s">
        <v>122</v>
      </c>
      <c r="J303" s="362" t="s">
        <v>121</v>
      </c>
      <c r="K303" s="346">
        <v>1</v>
      </c>
      <c r="L303" s="347"/>
      <c r="M303" s="348">
        <f t="shared" ref="M303:M312" si="90">K303</f>
        <v>1</v>
      </c>
      <c r="N303" s="585"/>
      <c r="O303" s="347"/>
      <c r="P303" s="394">
        <f t="shared" si="89"/>
        <v>1</v>
      </c>
    </row>
    <row r="304" spans="1:19" s="121" customFormat="1" ht="25.5" customHeight="1" x14ac:dyDescent="0.25">
      <c r="A304" s="78"/>
      <c r="B304" s="78"/>
      <c r="C304" s="182"/>
      <c r="D304" s="80"/>
      <c r="E304" s="611" t="s">
        <v>49</v>
      </c>
      <c r="F304" s="612"/>
      <c r="G304" s="613">
        <v>45077</v>
      </c>
      <c r="H304" s="90"/>
      <c r="I304" s="604" t="s">
        <v>285</v>
      </c>
      <c r="J304" s="605" t="s">
        <v>286</v>
      </c>
      <c r="K304" s="606">
        <v>1</v>
      </c>
      <c r="L304" s="607"/>
      <c r="M304" s="608">
        <f t="shared" si="90"/>
        <v>1</v>
      </c>
      <c r="N304" s="609"/>
      <c r="O304" s="607"/>
      <c r="P304" s="610">
        <f t="shared" si="89"/>
        <v>1</v>
      </c>
    </row>
    <row r="305" spans="1:16" s="121" customFormat="1" ht="25.5" customHeight="1" x14ac:dyDescent="0.25">
      <c r="A305" s="78"/>
      <c r="B305" s="78"/>
      <c r="C305" s="182"/>
      <c r="D305" s="80"/>
      <c r="E305" s="611" t="s">
        <v>49</v>
      </c>
      <c r="F305" s="612"/>
      <c r="G305" s="613">
        <v>45077</v>
      </c>
      <c r="H305" s="90"/>
      <c r="I305" s="604" t="s">
        <v>287</v>
      </c>
      <c r="J305" s="605" t="s">
        <v>529</v>
      </c>
      <c r="K305" s="606">
        <v>1</v>
      </c>
      <c r="L305" s="607"/>
      <c r="M305" s="608">
        <f t="shared" si="90"/>
        <v>1</v>
      </c>
      <c r="N305" s="609"/>
      <c r="O305" s="607"/>
      <c r="P305" s="610">
        <f t="shared" si="89"/>
        <v>1</v>
      </c>
    </row>
    <row r="306" spans="1:16" s="121" customFormat="1" ht="23.25" customHeight="1" x14ac:dyDescent="0.25">
      <c r="A306" s="78"/>
      <c r="B306" s="78"/>
      <c r="C306" s="182"/>
      <c r="D306" s="80"/>
      <c r="E306" s="341" t="s">
        <v>49</v>
      </c>
      <c r="F306" s="82"/>
      <c r="G306" s="452">
        <v>44893</v>
      </c>
      <c r="H306" s="90"/>
      <c r="I306" s="344" t="s">
        <v>138</v>
      </c>
      <c r="J306" s="345" t="s">
        <v>139</v>
      </c>
      <c r="K306" s="346">
        <v>1</v>
      </c>
      <c r="L306" s="347"/>
      <c r="M306" s="348">
        <f t="shared" si="90"/>
        <v>1</v>
      </c>
      <c r="N306" s="349">
        <v>1</v>
      </c>
      <c r="O306" s="347"/>
      <c r="P306" s="394">
        <f t="shared" si="89"/>
        <v>0</v>
      </c>
    </row>
    <row r="307" spans="1:16" s="121" customFormat="1" ht="23.25" customHeight="1" x14ac:dyDescent="0.25">
      <c r="A307" s="78"/>
      <c r="B307" s="78"/>
      <c r="C307" s="182"/>
      <c r="D307" s="350"/>
      <c r="E307" s="341" t="s">
        <v>49</v>
      </c>
      <c r="F307" s="82"/>
      <c r="G307" s="452">
        <v>44706</v>
      </c>
      <c r="H307" s="90"/>
      <c r="I307" s="344" t="s">
        <v>108</v>
      </c>
      <c r="J307" s="362" t="s">
        <v>107</v>
      </c>
      <c r="K307" s="346">
        <v>1</v>
      </c>
      <c r="L307" s="347"/>
      <c r="M307" s="348">
        <f t="shared" si="90"/>
        <v>1</v>
      </c>
      <c r="N307" s="487"/>
      <c r="O307" s="347"/>
      <c r="P307" s="394">
        <f t="shared" si="89"/>
        <v>1</v>
      </c>
    </row>
    <row r="308" spans="1:16" s="121" customFormat="1" ht="23.25" customHeight="1" x14ac:dyDescent="0.25">
      <c r="A308" s="78"/>
      <c r="B308" s="78"/>
      <c r="C308" s="182"/>
      <c r="D308" s="504"/>
      <c r="E308" s="341" t="s">
        <v>49</v>
      </c>
      <c r="F308" s="518"/>
      <c r="G308" s="505">
        <v>45019</v>
      </c>
      <c r="H308" s="64"/>
      <c r="I308" s="344" t="s">
        <v>229</v>
      </c>
      <c r="J308" s="362" t="s">
        <v>230</v>
      </c>
      <c r="K308" s="346">
        <v>3</v>
      </c>
      <c r="L308" s="506"/>
      <c r="M308" s="348">
        <f t="shared" si="90"/>
        <v>3</v>
      </c>
      <c r="N308" s="487"/>
      <c r="O308" s="347"/>
      <c r="P308" s="394">
        <f t="shared" si="89"/>
        <v>3</v>
      </c>
    </row>
    <row r="309" spans="1:16" s="121" customFormat="1" ht="23.25" customHeight="1" x14ac:dyDescent="0.25">
      <c r="A309" s="78"/>
      <c r="B309" s="78"/>
      <c r="C309" s="182"/>
      <c r="D309" s="504"/>
      <c r="E309" s="341" t="s">
        <v>667</v>
      </c>
      <c r="F309" s="518"/>
      <c r="G309" s="505">
        <v>45281</v>
      </c>
      <c r="H309" s="64"/>
      <c r="I309" s="344" t="s">
        <v>668</v>
      </c>
      <c r="J309" s="362" t="s">
        <v>669</v>
      </c>
      <c r="K309" s="346">
        <v>92</v>
      </c>
      <c r="L309" s="506"/>
      <c r="M309" s="348">
        <f t="shared" si="90"/>
        <v>92</v>
      </c>
      <c r="N309" s="487"/>
      <c r="O309" s="347"/>
      <c r="P309" s="394">
        <f t="shared" si="89"/>
        <v>92</v>
      </c>
    </row>
    <row r="310" spans="1:16" s="121" customFormat="1" ht="27.75" customHeight="1" x14ac:dyDescent="0.25">
      <c r="A310" s="78"/>
      <c r="B310" s="78"/>
      <c r="C310" s="182"/>
      <c r="D310" s="504"/>
      <c r="E310" s="341" t="s">
        <v>49</v>
      </c>
      <c r="F310" s="518"/>
      <c r="G310" s="505">
        <v>45085</v>
      </c>
      <c r="H310" s="64"/>
      <c r="I310" s="344" t="s">
        <v>283</v>
      </c>
      <c r="J310" s="362" t="s">
        <v>282</v>
      </c>
      <c r="K310" s="346">
        <v>1</v>
      </c>
      <c r="L310" s="506"/>
      <c r="M310" s="348">
        <f t="shared" si="90"/>
        <v>1</v>
      </c>
      <c r="N310" s="487"/>
      <c r="O310" s="347"/>
      <c r="P310" s="394">
        <f t="shared" si="89"/>
        <v>1</v>
      </c>
    </row>
    <row r="311" spans="1:16" s="121" customFormat="1" ht="23.25" customHeight="1" x14ac:dyDescent="0.25">
      <c r="A311" s="78"/>
      <c r="B311" s="78"/>
      <c r="C311" s="182"/>
      <c r="D311" s="504"/>
      <c r="E311" s="341" t="s">
        <v>49</v>
      </c>
      <c r="F311" s="518"/>
      <c r="G311" s="505">
        <v>45058</v>
      </c>
      <c r="H311" s="64"/>
      <c r="I311" s="344" t="s">
        <v>271</v>
      </c>
      <c r="J311" s="362" t="s">
        <v>272</v>
      </c>
      <c r="K311" s="346">
        <v>1</v>
      </c>
      <c r="L311" s="506"/>
      <c r="M311" s="348">
        <f t="shared" si="90"/>
        <v>1</v>
      </c>
      <c r="N311" s="487"/>
      <c r="O311" s="347"/>
      <c r="P311" s="394">
        <f t="shared" si="89"/>
        <v>1</v>
      </c>
    </row>
    <row r="312" spans="1:16" s="121" customFormat="1" ht="19.5" customHeight="1" x14ac:dyDescent="0.25">
      <c r="A312" s="162"/>
      <c r="B312" s="162"/>
      <c r="C312" s="252"/>
      <c r="D312" s="253"/>
      <c r="E312" s="492" t="s">
        <v>49</v>
      </c>
      <c r="F312" s="493"/>
      <c r="G312" s="494">
        <v>43508</v>
      </c>
      <c r="H312" s="495"/>
      <c r="I312" s="496" t="s">
        <v>57</v>
      </c>
      <c r="J312" s="497" t="s">
        <v>58</v>
      </c>
      <c r="K312" s="498">
        <v>1</v>
      </c>
      <c r="L312" s="499"/>
      <c r="M312" s="500">
        <f t="shared" si="90"/>
        <v>1</v>
      </c>
      <c r="N312" s="501"/>
      <c r="O312" s="499"/>
      <c r="P312" s="502">
        <f t="shared" si="89"/>
        <v>1</v>
      </c>
    </row>
    <row r="313" spans="1:16" s="154" customFormat="1" ht="22.65" customHeight="1" x14ac:dyDescent="0.25">
      <c r="A313" s="491" t="s">
        <v>47</v>
      </c>
      <c r="B313" s="381"/>
      <c r="C313" s="382"/>
      <c r="D313" s="383"/>
      <c r="E313" s="383"/>
      <c r="F313" s="384"/>
      <c r="G313" s="384"/>
      <c r="H313" s="370"/>
      <c r="I313" s="385"/>
      <c r="J313" s="386"/>
      <c r="K313" s="387"/>
      <c r="L313" s="152"/>
      <c r="M313" s="389"/>
      <c r="N313" s="388"/>
      <c r="O313" s="152"/>
      <c r="P313" s="389"/>
    </row>
    <row r="314" spans="1:16" s="195" customFormat="1" ht="21" customHeight="1" x14ac:dyDescent="0.25">
      <c r="A314" s="185" t="s">
        <v>23</v>
      </c>
      <c r="B314" s="186"/>
      <c r="C314" s="187"/>
      <c r="D314" s="188"/>
      <c r="E314" s="188"/>
      <c r="F314" s="576">
        <f>F251+F247+F230+F134+F100+F12</f>
        <v>903839.7</v>
      </c>
      <c r="G314" s="189"/>
      <c r="H314" s="371"/>
      <c r="I314" s="191"/>
      <c r="J314" s="186"/>
      <c r="K314" s="192">
        <f>SUM(K13:K313)</f>
        <v>1440</v>
      </c>
      <c r="L314" s="194"/>
      <c r="M314" s="192">
        <f>SUM(M13:M313)</f>
        <v>1390</v>
      </c>
      <c r="N314" s="533">
        <f>SUM(N13:N313)</f>
        <v>322</v>
      </c>
      <c r="O314" s="194"/>
      <c r="P314" s="192">
        <f>SUM(P13:P313)</f>
        <v>1069</v>
      </c>
    </row>
    <row r="315" spans="1:16" s="40" customFormat="1" ht="23.25" hidden="1" customHeight="1" x14ac:dyDescent="0.3">
      <c r="A315" s="196" t="s">
        <v>4</v>
      </c>
      <c r="B315" s="36"/>
      <c r="C315" s="37"/>
      <c r="D315" s="38"/>
      <c r="E315" s="38"/>
      <c r="F315" s="39"/>
      <c r="G315" s="39"/>
      <c r="H315" s="197"/>
      <c r="I315" s="198"/>
      <c r="J315" s="156"/>
      <c r="K315" s="157"/>
      <c r="L315" s="197"/>
      <c r="M315" s="158"/>
      <c r="N315" s="158"/>
      <c r="O315" s="197"/>
      <c r="P315" s="158"/>
    </row>
    <row r="316" spans="1:16" s="40" customFormat="1" ht="23.25" hidden="1" customHeight="1" x14ac:dyDescent="0.3">
      <c r="A316" s="199" t="s">
        <v>6</v>
      </c>
      <c r="B316" s="200"/>
      <c r="C316" s="201"/>
      <c r="D316" s="38"/>
      <c r="E316" s="38"/>
      <c r="F316" s="39"/>
      <c r="G316" s="39"/>
      <c r="H316" s="202"/>
      <c r="I316" s="203"/>
      <c r="J316" s="156"/>
      <c r="K316" s="204"/>
      <c r="L316" s="155"/>
      <c r="M316" s="159"/>
      <c r="N316" s="159"/>
      <c r="O316" s="155"/>
      <c r="P316" s="159"/>
    </row>
    <row r="317" spans="1:16" s="9" customFormat="1" ht="16.5" hidden="1" customHeight="1" x14ac:dyDescent="0.25">
      <c r="A317" s="97"/>
      <c r="B317" s="96" t="s">
        <v>36</v>
      </c>
      <c r="C317" s="96"/>
      <c r="D317" s="98"/>
      <c r="E317" s="99"/>
      <c r="F317" s="100"/>
      <c r="G317" s="101"/>
      <c r="H317" s="102"/>
      <c r="I317" s="103"/>
      <c r="J317" s="105"/>
      <c r="K317" s="106"/>
      <c r="L317" s="53"/>
      <c r="M317" s="54"/>
      <c r="N317" s="55"/>
      <c r="O317" s="53"/>
      <c r="P317" s="54"/>
    </row>
    <row r="318" spans="1:16" s="121" customFormat="1" ht="24.75" hidden="1" customHeight="1" x14ac:dyDescent="0.25">
      <c r="A318" s="116"/>
      <c r="B318" s="117"/>
      <c r="C318" s="808"/>
      <c r="D318" s="73"/>
      <c r="E318" s="92"/>
      <c r="F318" s="82"/>
      <c r="G318" s="83"/>
      <c r="H318" s="134"/>
      <c r="I318" s="118"/>
      <c r="J318" s="205"/>
      <c r="K318" s="120"/>
      <c r="L318" s="135"/>
      <c r="M318" s="87">
        <f>K318</f>
        <v>0</v>
      </c>
      <c r="N318" s="136" t="e">
        <f>#REF!</f>
        <v>#REF!</v>
      </c>
      <c r="O318" s="135"/>
      <c r="P318" s="69" t="e">
        <f>K318-N318</f>
        <v>#REF!</v>
      </c>
    </row>
    <row r="319" spans="1:16" s="121" customFormat="1" ht="30.75" hidden="1" customHeight="1" x14ac:dyDescent="0.25">
      <c r="A319" s="162"/>
      <c r="B319" s="163"/>
      <c r="C319" s="809"/>
      <c r="D319" s="422"/>
      <c r="E319" s="92"/>
      <c r="F319" s="93"/>
      <c r="G319" s="206"/>
      <c r="H319" s="134"/>
      <c r="I319" s="95"/>
      <c r="J319" s="207"/>
      <c r="K319" s="353"/>
      <c r="L319" s="135"/>
      <c r="M319" s="137">
        <f>K319</f>
        <v>0</v>
      </c>
      <c r="N319" s="136" t="e">
        <f>#REF!</f>
        <v>#REF!</v>
      </c>
      <c r="O319" s="135"/>
      <c r="P319" s="137" t="e">
        <f>K319-N319</f>
        <v>#REF!</v>
      </c>
    </row>
    <row r="320" spans="1:16" s="56" customFormat="1" ht="15" hidden="1" x14ac:dyDescent="0.25">
      <c r="A320" s="41"/>
      <c r="B320" s="42" t="s">
        <v>27</v>
      </c>
      <c r="C320" s="43"/>
      <c r="D320" s="44"/>
      <c r="E320" s="45"/>
      <c r="F320" s="46"/>
      <c r="G320" s="47"/>
      <c r="H320" s="48"/>
      <c r="I320" s="49"/>
      <c r="J320" s="50"/>
      <c r="K320" s="51"/>
      <c r="L320" s="53"/>
      <c r="M320" s="54"/>
      <c r="N320" s="55"/>
      <c r="O320" s="53"/>
      <c r="P320" s="54"/>
    </row>
    <row r="321" spans="1:16" s="9" customFormat="1" ht="13.2" hidden="1" x14ac:dyDescent="0.25">
      <c r="A321" s="57"/>
      <c r="B321" s="58"/>
      <c r="C321" s="208"/>
      <c r="D321" s="60"/>
      <c r="E321" s="107"/>
      <c r="F321" s="82"/>
      <c r="G321" s="83"/>
      <c r="H321" s="114"/>
      <c r="I321" s="65"/>
      <c r="J321" s="66"/>
      <c r="K321" s="67"/>
      <c r="L321" s="115"/>
      <c r="M321" s="71">
        <f>K321</f>
        <v>0</v>
      </c>
      <c r="N321" s="70" t="e">
        <f>#REF!</f>
        <v>#REF!</v>
      </c>
      <c r="O321" s="115"/>
      <c r="P321" s="71" t="e">
        <f>K321-N321</f>
        <v>#REF!</v>
      </c>
    </row>
    <row r="322" spans="1:16" s="9" customFormat="1" ht="16.5" hidden="1" customHeight="1" x14ac:dyDescent="0.25">
      <c r="A322" s="97"/>
      <c r="B322" s="96" t="s">
        <v>28</v>
      </c>
      <c r="C322" s="96"/>
      <c r="D322" s="98"/>
      <c r="E322" s="99"/>
      <c r="F322" s="100"/>
      <c r="G322" s="101"/>
      <c r="H322" s="102"/>
      <c r="I322" s="103"/>
      <c r="J322" s="105"/>
      <c r="K322" s="106"/>
      <c r="L322" s="53"/>
      <c r="M322" s="54"/>
      <c r="N322" s="55"/>
      <c r="O322" s="53"/>
      <c r="P322" s="54"/>
    </row>
    <row r="323" spans="1:16" s="9" customFormat="1" ht="13.2" hidden="1" x14ac:dyDescent="0.25">
      <c r="A323" s="57"/>
      <c r="B323" s="58"/>
      <c r="C323" s="59"/>
      <c r="D323" s="60"/>
      <c r="E323" s="61"/>
      <c r="F323" s="62"/>
      <c r="G323" s="63"/>
      <c r="H323" s="64"/>
      <c r="I323" s="65"/>
      <c r="J323" s="209"/>
      <c r="K323" s="67"/>
      <c r="L323" s="68"/>
      <c r="M323" s="71">
        <f>K323</f>
        <v>0</v>
      </c>
      <c r="N323" s="160" t="e">
        <f>#REF!</f>
        <v>#REF!</v>
      </c>
      <c r="O323" s="68"/>
      <c r="P323" s="71" t="e">
        <f>K323-N323</f>
        <v>#REF!</v>
      </c>
    </row>
    <row r="324" spans="1:16" s="9" customFormat="1" ht="16.5" hidden="1" customHeight="1" x14ac:dyDescent="0.25">
      <c r="A324" s="97"/>
      <c r="B324" s="96" t="s">
        <v>30</v>
      </c>
      <c r="C324" s="96"/>
      <c r="D324" s="98"/>
      <c r="E324" s="99"/>
      <c r="F324" s="100"/>
      <c r="G324" s="101"/>
      <c r="H324" s="102"/>
      <c r="I324" s="103"/>
      <c r="J324" s="105"/>
      <c r="K324" s="106"/>
      <c r="L324" s="53"/>
      <c r="M324" s="54"/>
      <c r="N324" s="55"/>
      <c r="O324" s="53"/>
      <c r="P324" s="54"/>
    </row>
    <row r="325" spans="1:16" s="9" customFormat="1" ht="13.2" hidden="1" x14ac:dyDescent="0.25">
      <c r="A325" s="57"/>
      <c r="B325" s="58"/>
      <c r="C325" s="59"/>
      <c r="D325" s="60"/>
      <c r="E325" s="61"/>
      <c r="F325" s="62"/>
      <c r="G325" s="63"/>
      <c r="H325" s="114"/>
      <c r="I325" s="65"/>
      <c r="J325" s="210"/>
      <c r="K325" s="67"/>
      <c r="L325" s="68"/>
      <c r="M325" s="71"/>
      <c r="N325" s="160"/>
      <c r="O325" s="68"/>
      <c r="P325" s="71">
        <f>K325-N325</f>
        <v>0</v>
      </c>
    </row>
    <row r="326" spans="1:16" s="9" customFormat="1" ht="16.5" hidden="1" customHeight="1" x14ac:dyDescent="0.25">
      <c r="A326" s="97"/>
      <c r="B326" s="96" t="s">
        <v>31</v>
      </c>
      <c r="C326" s="96"/>
      <c r="D326" s="98"/>
      <c r="E326" s="99"/>
      <c r="F326" s="100"/>
      <c r="G326" s="101"/>
      <c r="H326" s="102"/>
      <c r="I326" s="103"/>
      <c r="J326" s="105"/>
      <c r="K326" s="106"/>
      <c r="L326" s="53"/>
      <c r="M326" s="54"/>
      <c r="N326" s="55"/>
      <c r="O326" s="53"/>
      <c r="P326" s="54"/>
    </row>
    <row r="327" spans="1:16" s="9" customFormat="1" ht="50.25" hidden="1" customHeight="1" x14ac:dyDescent="0.25">
      <c r="A327" s="57"/>
      <c r="B327" s="58"/>
      <c r="C327" s="59"/>
      <c r="D327" s="60"/>
      <c r="E327" s="61"/>
      <c r="F327" s="62"/>
      <c r="G327" s="211"/>
      <c r="H327" s="173"/>
      <c r="I327" s="212"/>
      <c r="J327" s="213"/>
      <c r="K327" s="214"/>
      <c r="L327" s="68"/>
      <c r="M327" s="71"/>
      <c r="N327" s="160" t="e">
        <f>#REF!</f>
        <v>#REF!</v>
      </c>
      <c r="O327" s="68"/>
      <c r="P327" s="71" t="e">
        <f>K327-N327</f>
        <v>#REF!</v>
      </c>
    </row>
    <row r="328" spans="1:16" s="9" customFormat="1" ht="15" hidden="1" x14ac:dyDescent="0.25">
      <c r="A328" s="97"/>
      <c r="B328" s="96" t="s">
        <v>35</v>
      </c>
      <c r="C328" s="96"/>
      <c r="D328" s="215"/>
      <c r="E328" s="105"/>
      <c r="F328" s="100"/>
      <c r="G328" s="216"/>
      <c r="H328" s="217"/>
      <c r="I328" s="218"/>
      <c r="J328" s="219"/>
      <c r="K328" s="220"/>
      <c r="L328" s="221"/>
      <c r="M328" s="222"/>
      <c r="N328" s="222"/>
      <c r="O328" s="221"/>
      <c r="P328" s="222"/>
    </row>
    <row r="329" spans="1:16" s="121" customFormat="1" ht="30.75" hidden="1" customHeight="1" x14ac:dyDescent="0.25">
      <c r="A329" s="89"/>
      <c r="B329" s="223"/>
      <c r="C329" s="133"/>
      <c r="D329" s="426"/>
      <c r="E329" s="92"/>
      <c r="F329" s="82"/>
      <c r="G329" s="94"/>
      <c r="H329" s="134"/>
      <c r="I329" s="84"/>
      <c r="J329" s="85"/>
      <c r="K329" s="86"/>
      <c r="L329" s="135"/>
      <c r="M329" s="87">
        <f>K329</f>
        <v>0</v>
      </c>
      <c r="N329" s="136" t="e">
        <f>#REF!</f>
        <v>#REF!</v>
      </c>
      <c r="O329" s="135"/>
      <c r="P329" s="137" t="e">
        <f>K329-N329</f>
        <v>#REF!</v>
      </c>
    </row>
    <row r="330" spans="1:16" s="9" customFormat="1" ht="16.5" hidden="1" customHeight="1" x14ac:dyDescent="0.25">
      <c r="A330" s="97"/>
      <c r="B330" s="96"/>
      <c r="C330" s="96" t="s">
        <v>29</v>
      </c>
      <c r="D330" s="98"/>
      <c r="E330" s="99"/>
      <c r="F330" s="100"/>
      <c r="G330" s="101"/>
      <c r="H330" s="102"/>
      <c r="I330" s="103"/>
      <c r="J330" s="105"/>
      <c r="K330" s="106"/>
      <c r="L330" s="53"/>
      <c r="M330" s="54"/>
      <c r="N330" s="55"/>
      <c r="O330" s="53"/>
      <c r="P330" s="54"/>
    </row>
    <row r="331" spans="1:16" s="121" customFormat="1" ht="24.75" hidden="1" customHeight="1" x14ac:dyDescent="0.25">
      <c r="A331" s="224"/>
      <c r="B331" s="225"/>
      <c r="C331" s="226"/>
      <c r="D331" s="227"/>
      <c r="E331" s="92"/>
      <c r="F331" s="82"/>
      <c r="G331" s="83"/>
      <c r="H331" s="134"/>
      <c r="I331" s="118"/>
      <c r="J331" s="119"/>
      <c r="K331" s="120"/>
      <c r="L331" s="127"/>
      <c r="M331" s="128">
        <f>K331</f>
        <v>0</v>
      </c>
      <c r="N331" s="129"/>
      <c r="O331" s="127"/>
      <c r="P331" s="228">
        <f>K331-N331</f>
        <v>0</v>
      </c>
    </row>
    <row r="332" spans="1:16" s="110" customFormat="1" ht="21" hidden="1" customHeight="1" x14ac:dyDescent="0.25">
      <c r="A332" s="229"/>
      <c r="B332" s="230"/>
      <c r="C332" s="226"/>
      <c r="D332" s="231"/>
      <c r="E332" s="414"/>
      <c r="F332" s="232"/>
      <c r="G332" s="231"/>
      <c r="H332" s="233"/>
      <c r="I332" s="234"/>
      <c r="J332" s="235"/>
      <c r="K332" s="236"/>
      <c r="L332" s="237"/>
      <c r="M332" s="128">
        <f>K332</f>
        <v>0</v>
      </c>
      <c r="N332" s="129"/>
      <c r="O332" s="237"/>
      <c r="P332" s="128"/>
    </row>
    <row r="333" spans="1:16" s="154" customFormat="1" ht="22.65" hidden="1" customHeight="1" collapsed="1" x14ac:dyDescent="0.25">
      <c r="A333" s="143" t="s">
        <v>2</v>
      </c>
      <c r="B333" s="144"/>
      <c r="C333" s="145"/>
      <c r="D333" s="146"/>
      <c r="E333" s="146"/>
      <c r="F333" s="147"/>
      <c r="G333" s="147"/>
      <c r="H333" s="148"/>
      <c r="I333" s="149"/>
      <c r="J333" s="184"/>
      <c r="K333" s="150"/>
      <c r="L333" s="152"/>
      <c r="M333" s="151"/>
      <c r="N333" s="151"/>
      <c r="O333" s="152"/>
      <c r="P333" s="151"/>
    </row>
    <row r="334" spans="1:16" s="40" customFormat="1" ht="23.25" hidden="1" customHeight="1" x14ac:dyDescent="0.3">
      <c r="A334" s="35" t="s">
        <v>7</v>
      </c>
      <c r="B334" s="36"/>
      <c r="C334" s="37"/>
      <c r="D334" s="38"/>
      <c r="E334" s="38"/>
      <c r="F334" s="39"/>
      <c r="G334" s="39"/>
      <c r="H334" s="197"/>
      <c r="I334" s="198"/>
      <c r="J334" s="156"/>
      <c r="K334" s="157"/>
      <c r="L334" s="155"/>
      <c r="M334" s="158"/>
      <c r="N334" s="158"/>
      <c r="O334" s="155"/>
      <c r="P334" s="158"/>
    </row>
    <row r="335" spans="1:16" s="40" customFormat="1" ht="23.25" hidden="1" customHeight="1" x14ac:dyDescent="0.3">
      <c r="A335" s="238"/>
      <c r="B335" s="239" t="s">
        <v>8</v>
      </c>
      <c r="C335" s="240"/>
      <c r="D335" s="241"/>
      <c r="E335" s="242"/>
      <c r="F335" s="243"/>
      <c r="G335" s="244"/>
      <c r="H335" s="245"/>
      <c r="I335" s="246"/>
      <c r="J335" s="247"/>
      <c r="K335" s="248"/>
      <c r="L335" s="249"/>
      <c r="M335" s="250"/>
      <c r="N335" s="251"/>
      <c r="O335" s="249"/>
      <c r="P335" s="250"/>
    </row>
    <row r="336" spans="1:16" s="121" customFormat="1" ht="52.5" hidden="1" customHeight="1" x14ac:dyDescent="0.25">
      <c r="A336" s="162"/>
      <c r="B336" s="163"/>
      <c r="C336" s="252"/>
      <c r="D336" s="253"/>
      <c r="E336" s="81"/>
      <c r="F336" s="82"/>
      <c r="G336" s="83"/>
      <c r="H336" s="134"/>
      <c r="I336" s="84"/>
      <c r="J336" s="85"/>
      <c r="K336" s="86"/>
      <c r="L336" s="135"/>
      <c r="M336" s="87">
        <f>K336</f>
        <v>0</v>
      </c>
      <c r="N336" s="160" t="e">
        <f>#REF!</f>
        <v>#REF!</v>
      </c>
      <c r="O336" s="135"/>
      <c r="P336" s="87" t="e">
        <f>K336-N336</f>
        <v>#REF!</v>
      </c>
    </row>
    <row r="337" spans="1:16" s="56" customFormat="1" ht="15" hidden="1" x14ac:dyDescent="0.25">
      <c r="A337" s="41"/>
      <c r="B337" s="96" t="s">
        <v>32</v>
      </c>
      <c r="C337" s="96"/>
      <c r="D337" s="44"/>
      <c r="E337" s="45"/>
      <c r="F337" s="46"/>
      <c r="G337" s="47"/>
      <c r="H337" s="48"/>
      <c r="I337" s="49"/>
      <c r="J337" s="50"/>
      <c r="K337" s="51"/>
      <c r="L337" s="53"/>
      <c r="M337" s="54"/>
      <c r="N337" s="55"/>
      <c r="O337" s="53"/>
      <c r="P337" s="54"/>
    </row>
    <row r="338" spans="1:16" s="121" customFormat="1" ht="13.2" hidden="1" x14ac:dyDescent="0.25">
      <c r="A338" s="116"/>
      <c r="B338" s="117"/>
      <c r="C338" s="72"/>
      <c r="D338" s="73"/>
      <c r="E338" s="254"/>
      <c r="F338" s="170"/>
      <c r="G338" s="83"/>
      <c r="H338" s="134"/>
      <c r="I338" s="118"/>
      <c r="J338" s="119"/>
      <c r="K338" s="120"/>
      <c r="L338" s="91"/>
      <c r="M338" s="87">
        <f>K338</f>
        <v>0</v>
      </c>
      <c r="N338" s="88"/>
      <c r="O338" s="91"/>
      <c r="P338" s="87">
        <f>K338-N338</f>
        <v>0</v>
      </c>
    </row>
    <row r="339" spans="1:16" s="9" customFormat="1" ht="15.75" hidden="1" customHeight="1" x14ac:dyDescent="0.25">
      <c r="A339" s="255"/>
      <c r="B339" s="256"/>
      <c r="C339" s="182"/>
      <c r="D339" s="426"/>
      <c r="E339" s="92"/>
      <c r="F339" s="93"/>
      <c r="G339" s="257"/>
      <c r="H339" s="114"/>
      <c r="I339" s="95"/>
      <c r="J339" s="207"/>
      <c r="K339" s="372"/>
      <c r="L339" s="135"/>
      <c r="M339" s="87">
        <f>K339</f>
        <v>0</v>
      </c>
      <c r="N339" s="88" t="e">
        <f>#REF!</f>
        <v>#REF!</v>
      </c>
      <c r="O339" s="135"/>
      <c r="P339" s="87" t="e">
        <f>K339-N339</f>
        <v>#REF!</v>
      </c>
    </row>
    <row r="340" spans="1:16" s="56" customFormat="1" ht="15.75" hidden="1" customHeight="1" x14ac:dyDescent="0.25">
      <c r="A340" s="41"/>
      <c r="B340" s="96" t="s">
        <v>34</v>
      </c>
      <c r="C340" s="96"/>
      <c r="D340" s="222"/>
      <c r="E340" s="50"/>
      <c r="F340" s="46"/>
      <c r="G340" s="47"/>
      <c r="H340" s="258"/>
      <c r="I340" s="49"/>
      <c r="J340" s="259"/>
      <c r="K340" s="51"/>
      <c r="L340" s="221"/>
      <c r="M340" s="222"/>
      <c r="N340" s="222"/>
      <c r="O340" s="221"/>
      <c r="P340" s="222"/>
    </row>
    <row r="341" spans="1:16" s="121" customFormat="1" ht="28.5" hidden="1" customHeight="1" x14ac:dyDescent="0.25">
      <c r="A341" s="116"/>
      <c r="B341" s="117"/>
      <c r="C341" s="72"/>
      <c r="D341" s="73"/>
      <c r="E341" s="254"/>
      <c r="F341" s="82"/>
      <c r="G341" s="83"/>
      <c r="H341" s="134"/>
      <c r="I341" s="118"/>
      <c r="J341" s="119"/>
      <c r="K341" s="120"/>
      <c r="L341" s="135"/>
      <c r="M341" s="87">
        <f>K341</f>
        <v>0</v>
      </c>
      <c r="N341" s="181" t="e">
        <f>#REF!</f>
        <v>#REF!</v>
      </c>
      <c r="O341" s="135"/>
      <c r="P341" s="87" t="e">
        <f>K341-N341</f>
        <v>#REF!</v>
      </c>
    </row>
    <row r="342" spans="1:16" s="56" customFormat="1" ht="15" hidden="1" x14ac:dyDescent="0.25">
      <c r="A342" s="41"/>
      <c r="B342" s="96" t="s">
        <v>33</v>
      </c>
      <c r="C342" s="96"/>
      <c r="D342" s="44"/>
      <c r="E342" s="45"/>
      <c r="F342" s="46"/>
      <c r="G342" s="47"/>
      <c r="H342" s="48"/>
      <c r="I342" s="49"/>
      <c r="J342" s="50"/>
      <c r="K342" s="51"/>
      <c r="L342" s="53"/>
      <c r="M342" s="54"/>
      <c r="N342" s="55"/>
      <c r="O342" s="53"/>
      <c r="P342" s="54"/>
    </row>
    <row r="343" spans="1:16" s="121" customFormat="1" ht="13.2" hidden="1" x14ac:dyDescent="0.25">
      <c r="A343" s="116"/>
      <c r="B343" s="117"/>
      <c r="C343" s="373"/>
      <c r="D343" s="73"/>
      <c r="E343" s="254"/>
      <c r="F343" s="170"/>
      <c r="G343" s="172"/>
      <c r="H343" s="260"/>
      <c r="I343" s="75"/>
      <c r="J343" s="76"/>
      <c r="K343" s="261"/>
      <c r="L343" s="91"/>
      <c r="M343" s="87">
        <f>K343</f>
        <v>0</v>
      </c>
      <c r="N343" s="88"/>
      <c r="O343" s="91"/>
      <c r="P343" s="87">
        <f>K343-N343</f>
        <v>0</v>
      </c>
    </row>
    <row r="344" spans="1:16" s="180" customFormat="1" ht="15.75" hidden="1" customHeight="1" x14ac:dyDescent="0.25">
      <c r="A344" s="262"/>
      <c r="B344" s="263"/>
      <c r="C344" s="264"/>
      <c r="D344" s="123"/>
      <c r="E344" s="265"/>
      <c r="F344" s="138"/>
      <c r="G344" s="165"/>
      <c r="H344" s="166"/>
      <c r="I344" s="109"/>
      <c r="J344" s="125"/>
      <c r="K344" s="266"/>
      <c r="L344" s="127"/>
      <c r="M344" s="128">
        <f>K344</f>
        <v>0</v>
      </c>
      <c r="N344" s="179" t="e">
        <f>#REF!</f>
        <v>#REF!</v>
      </c>
      <c r="O344" s="127"/>
      <c r="P344" s="128" t="e">
        <f>K344-N344</f>
        <v>#REF!</v>
      </c>
    </row>
    <row r="345" spans="1:16" s="56" customFormat="1" ht="15" hidden="1" x14ac:dyDescent="0.25">
      <c r="A345" s="41"/>
      <c r="B345" s="96" t="s">
        <v>5</v>
      </c>
      <c r="C345" s="96"/>
      <c r="D345" s="44"/>
      <c r="E345" s="45"/>
      <c r="F345" s="46"/>
      <c r="G345" s="47"/>
      <c r="H345" s="48"/>
      <c r="I345" s="49"/>
      <c r="J345" s="50"/>
      <c r="K345" s="51"/>
      <c r="L345" s="53"/>
      <c r="M345" s="54"/>
      <c r="N345" s="55"/>
      <c r="O345" s="53"/>
      <c r="P345" s="54"/>
    </row>
    <row r="346" spans="1:16" s="131" customFormat="1" ht="13.2" hidden="1" x14ac:dyDescent="0.25">
      <c r="A346" s="267"/>
      <c r="B346" s="268"/>
      <c r="C346" s="269"/>
      <c r="D346" s="270"/>
      <c r="E346" s="271"/>
      <c r="F346" s="138"/>
      <c r="G346" s="165"/>
      <c r="H346" s="124"/>
      <c r="I346" s="272"/>
      <c r="J346" s="273"/>
      <c r="K346" s="274"/>
      <c r="L346" s="127"/>
      <c r="M346" s="128">
        <f>K346</f>
        <v>0</v>
      </c>
      <c r="N346" s="179"/>
      <c r="O346" s="127"/>
      <c r="P346" s="128">
        <f>K346-N346</f>
        <v>0</v>
      </c>
    </row>
    <row r="347" spans="1:16" s="9" customFormat="1" ht="15.75" hidden="1" customHeight="1" x14ac:dyDescent="0.25">
      <c r="A347" s="255"/>
      <c r="B347" s="256"/>
      <c r="C347" s="182"/>
      <c r="D347" s="426"/>
      <c r="E347" s="92"/>
      <c r="F347" s="93"/>
      <c r="G347" s="257"/>
      <c r="H347" s="114"/>
      <c r="I347" s="95"/>
      <c r="J347" s="207"/>
      <c r="K347" s="372"/>
      <c r="L347" s="135"/>
      <c r="M347" s="87">
        <f>K347</f>
        <v>0</v>
      </c>
      <c r="N347" s="88" t="e">
        <f>#REF!</f>
        <v>#REF!</v>
      </c>
      <c r="O347" s="135"/>
      <c r="P347" s="87" t="e">
        <f>K347-N347</f>
        <v>#REF!</v>
      </c>
    </row>
    <row r="348" spans="1:16" s="56" customFormat="1" ht="15.75" hidden="1" customHeight="1" x14ac:dyDescent="0.25">
      <c r="A348" s="41"/>
      <c r="B348" s="42" t="s">
        <v>19</v>
      </c>
      <c r="C348" s="43"/>
      <c r="D348" s="44"/>
      <c r="E348" s="45"/>
      <c r="F348" s="46"/>
      <c r="G348" s="47"/>
      <c r="H348" s="48"/>
      <c r="I348" s="49"/>
      <c r="J348" s="50"/>
      <c r="K348" s="51"/>
      <c r="L348" s="53"/>
      <c r="M348" s="54"/>
      <c r="N348" s="55"/>
      <c r="O348" s="53"/>
      <c r="P348" s="54"/>
    </row>
    <row r="349" spans="1:16" s="121" customFormat="1" ht="41.25" hidden="1" customHeight="1" x14ac:dyDescent="0.25">
      <c r="A349" s="78"/>
      <c r="B349" s="79"/>
      <c r="C349" s="275"/>
      <c r="D349" s="80"/>
      <c r="E349" s="81"/>
      <c r="F349" s="82"/>
      <c r="G349" s="83"/>
      <c r="H349" s="134"/>
      <c r="I349" s="84"/>
      <c r="J349" s="85"/>
      <c r="K349" s="86"/>
      <c r="L349" s="135"/>
      <c r="M349" s="87">
        <f t="shared" ref="M349:M369" si="91">K349</f>
        <v>0</v>
      </c>
      <c r="N349" s="160" t="e">
        <f>#REF!</f>
        <v>#REF!</v>
      </c>
      <c r="O349" s="135"/>
      <c r="P349" s="87" t="e">
        <f t="shared" ref="P349:P372" si="92">K349-N349</f>
        <v>#REF!</v>
      </c>
    </row>
    <row r="350" spans="1:16" s="121" customFormat="1" ht="29.25" hidden="1" customHeight="1" x14ac:dyDescent="0.25">
      <c r="A350" s="78"/>
      <c r="B350" s="79"/>
      <c r="C350" s="275"/>
      <c r="D350" s="80"/>
      <c r="E350" s="81"/>
      <c r="F350" s="82"/>
      <c r="G350" s="83"/>
      <c r="H350" s="134"/>
      <c r="I350" s="174"/>
      <c r="J350" s="85"/>
      <c r="K350" s="86"/>
      <c r="L350" s="135"/>
      <c r="M350" s="87">
        <f t="shared" si="91"/>
        <v>0</v>
      </c>
      <c r="N350" s="88" t="e">
        <f>#REF!</f>
        <v>#REF!</v>
      </c>
      <c r="O350" s="135"/>
      <c r="P350" s="87" t="e">
        <f t="shared" si="92"/>
        <v>#REF!</v>
      </c>
    </row>
    <row r="351" spans="1:16" s="9" customFormat="1" ht="13.2" hidden="1" x14ac:dyDescent="0.25">
      <c r="A351" s="78"/>
      <c r="B351" s="79"/>
      <c r="D351" s="80"/>
      <c r="E351" s="81"/>
      <c r="F351" s="82"/>
      <c r="G351" s="83"/>
      <c r="H351" s="114"/>
      <c r="I351" s="84"/>
      <c r="J351" s="85"/>
      <c r="K351" s="86"/>
      <c r="L351" s="115"/>
      <c r="M351" s="87">
        <f t="shared" si="91"/>
        <v>0</v>
      </c>
      <c r="N351" s="88" t="e">
        <f>#REF!</f>
        <v>#REF!</v>
      </c>
      <c r="O351" s="115"/>
      <c r="P351" s="87" t="e">
        <f t="shared" si="92"/>
        <v>#REF!</v>
      </c>
    </row>
    <row r="352" spans="1:16" s="180" customFormat="1" ht="13.2" hidden="1" x14ac:dyDescent="0.25">
      <c r="A352" s="122"/>
      <c r="B352" s="176"/>
      <c r="C352" s="276"/>
      <c r="D352" s="177"/>
      <c r="E352" s="178"/>
      <c r="F352" s="138"/>
      <c r="G352" s="165"/>
      <c r="H352" s="166"/>
      <c r="I352" s="167"/>
      <c r="J352" s="168"/>
      <c r="K352" s="126"/>
      <c r="L352" s="169"/>
      <c r="M352" s="128">
        <f t="shared" si="91"/>
        <v>0</v>
      </c>
      <c r="N352" s="179" t="e">
        <f>#REF!</f>
        <v>#REF!</v>
      </c>
      <c r="O352" s="169"/>
      <c r="P352" s="128" t="e">
        <f t="shared" si="92"/>
        <v>#REF!</v>
      </c>
    </row>
    <row r="353" spans="1:16" s="180" customFormat="1" ht="36.9" hidden="1" customHeight="1" x14ac:dyDescent="0.25">
      <c r="A353" s="122"/>
      <c r="B353" s="176"/>
      <c r="C353" s="276"/>
      <c r="D353" s="177"/>
      <c r="E353" s="178"/>
      <c r="F353" s="138"/>
      <c r="G353" s="165"/>
      <c r="H353" s="166"/>
      <c r="I353" s="167"/>
      <c r="J353" s="168"/>
      <c r="K353" s="126"/>
      <c r="L353" s="169"/>
      <c r="M353" s="128">
        <f t="shared" si="91"/>
        <v>0</v>
      </c>
      <c r="N353" s="179" t="e">
        <f>#REF!</f>
        <v>#REF!</v>
      </c>
      <c r="O353" s="169"/>
      <c r="P353" s="128" t="e">
        <f t="shared" si="92"/>
        <v>#REF!</v>
      </c>
    </row>
    <row r="354" spans="1:16" s="9" customFormat="1" ht="36.9" hidden="1" customHeight="1" x14ac:dyDescent="0.25">
      <c r="A354" s="78"/>
      <c r="B354" s="79"/>
      <c r="C354" s="275"/>
      <c r="D354" s="80"/>
      <c r="E354" s="81"/>
      <c r="F354" s="170"/>
      <c r="G354" s="172"/>
      <c r="H354" s="173"/>
      <c r="I354" s="174"/>
      <c r="J354" s="171"/>
      <c r="K354" s="175"/>
      <c r="L354" s="68"/>
      <c r="M354" s="87">
        <f t="shared" si="91"/>
        <v>0</v>
      </c>
      <c r="N354" s="88" t="e">
        <f>#REF!</f>
        <v>#REF!</v>
      </c>
      <c r="O354" s="68"/>
      <c r="P354" s="87" t="e">
        <f t="shared" si="92"/>
        <v>#REF!</v>
      </c>
    </row>
    <row r="355" spans="1:16" s="9" customFormat="1" ht="36.9" hidden="1" customHeight="1" x14ac:dyDescent="0.25">
      <c r="A355" s="78"/>
      <c r="B355" s="79"/>
      <c r="C355" s="275"/>
      <c r="D355" s="80"/>
      <c r="E355" s="81"/>
      <c r="F355" s="170"/>
      <c r="G355" s="172"/>
      <c r="H355" s="173"/>
      <c r="I355" s="174"/>
      <c r="J355" s="171"/>
      <c r="K355" s="175"/>
      <c r="L355" s="68"/>
      <c r="M355" s="87">
        <f t="shared" si="91"/>
        <v>0</v>
      </c>
      <c r="N355" s="88" t="e">
        <f>#REF!</f>
        <v>#REF!</v>
      </c>
      <c r="O355" s="68"/>
      <c r="P355" s="87" t="e">
        <f t="shared" si="92"/>
        <v>#REF!</v>
      </c>
    </row>
    <row r="356" spans="1:16" s="9" customFormat="1" ht="36.9" hidden="1" customHeight="1" x14ac:dyDescent="0.25">
      <c r="A356" s="78"/>
      <c r="B356" s="79"/>
      <c r="C356" s="275"/>
      <c r="D356" s="80"/>
      <c r="E356" s="81"/>
      <c r="F356" s="82"/>
      <c r="G356" s="83"/>
      <c r="H356" s="114"/>
      <c r="I356" s="84"/>
      <c r="J356" s="85"/>
      <c r="K356" s="86"/>
      <c r="L356" s="115"/>
      <c r="M356" s="87">
        <f t="shared" si="91"/>
        <v>0</v>
      </c>
      <c r="N356" s="160" t="e">
        <f>#REF!</f>
        <v>#REF!</v>
      </c>
      <c r="O356" s="115"/>
      <c r="P356" s="87" t="e">
        <f t="shared" si="92"/>
        <v>#REF!</v>
      </c>
    </row>
    <row r="357" spans="1:16" s="9" customFormat="1" ht="26.25" hidden="1" customHeight="1" x14ac:dyDescent="0.25">
      <c r="A357" s="78"/>
      <c r="B357" s="79"/>
      <c r="C357" s="275"/>
      <c r="D357" s="80"/>
      <c r="E357" s="81"/>
      <c r="F357" s="82"/>
      <c r="G357" s="83"/>
      <c r="H357" s="114"/>
      <c r="I357" s="84"/>
      <c r="J357" s="85"/>
      <c r="K357" s="86"/>
      <c r="L357" s="115"/>
      <c r="M357" s="87">
        <f t="shared" si="91"/>
        <v>0</v>
      </c>
      <c r="N357" s="88" t="e">
        <f>#REF!</f>
        <v>#REF!</v>
      </c>
      <c r="O357" s="68"/>
      <c r="P357" s="87" t="e">
        <f t="shared" si="92"/>
        <v>#REF!</v>
      </c>
    </row>
    <row r="358" spans="1:16" s="180" customFormat="1" ht="26.25" hidden="1" customHeight="1" x14ac:dyDescent="0.25">
      <c r="A358" s="122"/>
      <c r="B358" s="176"/>
      <c r="C358" s="277"/>
      <c r="D358" s="177"/>
      <c r="E358" s="178"/>
      <c r="F358" s="138"/>
      <c r="G358" s="165"/>
      <c r="H358" s="166"/>
      <c r="I358" s="84"/>
      <c r="J358" s="85"/>
      <c r="K358" s="86"/>
      <c r="L358" s="169"/>
      <c r="M358" s="128">
        <f t="shared" si="91"/>
        <v>0</v>
      </c>
      <c r="N358" s="160" t="e">
        <f>#REF!</f>
        <v>#REF!</v>
      </c>
      <c r="O358" s="169"/>
      <c r="P358" s="128" t="e">
        <f t="shared" si="92"/>
        <v>#REF!</v>
      </c>
    </row>
    <row r="359" spans="1:16" s="180" customFormat="1" ht="26.25" hidden="1" customHeight="1" x14ac:dyDescent="0.25">
      <c r="A359" s="122"/>
      <c r="B359" s="176"/>
      <c r="C359" s="139"/>
      <c r="D359" s="177"/>
      <c r="E359" s="178"/>
      <c r="F359" s="138"/>
      <c r="G359" s="165"/>
      <c r="H359" s="166"/>
      <c r="I359" s="84"/>
      <c r="J359" s="85"/>
      <c r="K359" s="86"/>
      <c r="L359" s="169"/>
      <c r="M359" s="128">
        <f t="shared" si="91"/>
        <v>0</v>
      </c>
      <c r="N359" s="160" t="e">
        <f>#REF!</f>
        <v>#REF!</v>
      </c>
      <c r="O359" s="169"/>
      <c r="P359" s="128" t="e">
        <f t="shared" si="92"/>
        <v>#REF!</v>
      </c>
    </row>
    <row r="360" spans="1:16" s="9" customFormat="1" ht="26.25" hidden="1" customHeight="1" x14ac:dyDescent="0.25">
      <c r="A360" s="78"/>
      <c r="B360" s="79"/>
      <c r="C360" s="182"/>
      <c r="D360" s="80"/>
      <c r="E360" s="81"/>
      <c r="F360" s="82"/>
      <c r="G360" s="83"/>
      <c r="H360" s="114"/>
      <c r="I360" s="84"/>
      <c r="J360" s="85"/>
      <c r="K360" s="86"/>
      <c r="L360" s="115"/>
      <c r="M360" s="87">
        <f t="shared" si="91"/>
        <v>0</v>
      </c>
      <c r="N360" s="181" t="e">
        <f>#REF!</f>
        <v>#REF!</v>
      </c>
      <c r="O360" s="68"/>
      <c r="P360" s="87" t="e">
        <f t="shared" si="92"/>
        <v>#REF!</v>
      </c>
    </row>
    <row r="361" spans="1:16" s="180" customFormat="1" ht="26.25" hidden="1" customHeight="1" x14ac:dyDescent="0.25">
      <c r="A361" s="122"/>
      <c r="B361" s="176"/>
      <c r="C361" s="139"/>
      <c r="D361" s="177"/>
      <c r="E361" s="178"/>
      <c r="F361" s="138"/>
      <c r="G361" s="165"/>
      <c r="H361" s="166"/>
      <c r="I361" s="167"/>
      <c r="J361" s="168"/>
      <c r="K361" s="126"/>
      <c r="L361" s="169"/>
      <c r="M361" s="128">
        <f t="shared" si="91"/>
        <v>0</v>
      </c>
      <c r="N361" s="179" t="e">
        <f>#REF!</f>
        <v>#REF!</v>
      </c>
      <c r="O361" s="169"/>
      <c r="P361" s="128" t="e">
        <f t="shared" si="92"/>
        <v>#REF!</v>
      </c>
    </row>
    <row r="362" spans="1:16" s="9" customFormat="1" ht="26.25" hidden="1" customHeight="1" x14ac:dyDescent="0.25">
      <c r="A362" s="78"/>
      <c r="B362" s="79"/>
      <c r="C362" s="182"/>
      <c r="D362" s="80"/>
      <c r="E362" s="81"/>
      <c r="F362" s="278"/>
      <c r="G362" s="83"/>
      <c r="H362" s="114"/>
      <c r="I362" s="174"/>
      <c r="J362" s="171"/>
      <c r="K362" s="86"/>
      <c r="L362" s="115"/>
      <c r="M362" s="87">
        <f t="shared" si="91"/>
        <v>0</v>
      </c>
      <c r="N362" s="88" t="e">
        <f>#REF!</f>
        <v>#REF!</v>
      </c>
      <c r="O362" s="68"/>
      <c r="P362" s="87" t="e">
        <f t="shared" si="92"/>
        <v>#REF!</v>
      </c>
    </row>
    <row r="363" spans="1:16" s="9" customFormat="1" ht="26.25" hidden="1" customHeight="1" x14ac:dyDescent="0.25">
      <c r="A363" s="78"/>
      <c r="B363" s="79"/>
      <c r="C363" s="182"/>
      <c r="D363" s="80"/>
      <c r="E363" s="81"/>
      <c r="F363" s="278"/>
      <c r="G363" s="83"/>
      <c r="H363" s="114"/>
      <c r="I363" s="174"/>
      <c r="J363" s="279"/>
      <c r="K363" s="86"/>
      <c r="L363" s="115"/>
      <c r="M363" s="87">
        <f t="shared" si="91"/>
        <v>0</v>
      </c>
      <c r="N363" s="88" t="e">
        <f>#REF!</f>
        <v>#REF!</v>
      </c>
      <c r="O363" s="68"/>
      <c r="P363" s="87" t="e">
        <f t="shared" si="92"/>
        <v>#REF!</v>
      </c>
    </row>
    <row r="364" spans="1:16" s="180" customFormat="1" ht="26.25" hidden="1" customHeight="1" x14ac:dyDescent="0.25">
      <c r="A364" s="122"/>
      <c r="B364" s="176"/>
      <c r="C364" s="139"/>
      <c r="D364" s="177"/>
      <c r="E364" s="178"/>
      <c r="F364" s="280"/>
      <c r="G364" s="165"/>
      <c r="H364" s="166"/>
      <c r="I364" s="167"/>
      <c r="J364" s="281"/>
      <c r="K364" s="126"/>
      <c r="L364" s="169"/>
      <c r="M364" s="128">
        <f t="shared" si="91"/>
        <v>0</v>
      </c>
      <c r="N364" s="179" t="e">
        <f>#REF!</f>
        <v>#REF!</v>
      </c>
      <c r="O364" s="169"/>
      <c r="P364" s="128" t="e">
        <f t="shared" si="92"/>
        <v>#REF!</v>
      </c>
    </row>
    <row r="365" spans="1:16" s="9" customFormat="1" ht="43.5" hidden="1" customHeight="1" x14ac:dyDescent="0.25">
      <c r="A365" s="78"/>
      <c r="B365" s="79"/>
      <c r="C365" s="182"/>
      <c r="D365" s="80"/>
      <c r="E365" s="81"/>
      <c r="F365" s="278"/>
      <c r="G365" s="83"/>
      <c r="H365" s="114"/>
      <c r="I365" s="84"/>
      <c r="J365" s="282"/>
      <c r="K365" s="86"/>
      <c r="L365" s="115"/>
      <c r="M365" s="87">
        <f t="shared" si="91"/>
        <v>0</v>
      </c>
      <c r="N365" s="88" t="e">
        <f>#REF!</f>
        <v>#REF!</v>
      </c>
      <c r="O365" s="115"/>
      <c r="P365" s="87" t="e">
        <f t="shared" si="92"/>
        <v>#REF!</v>
      </c>
    </row>
    <row r="366" spans="1:16" s="9" customFormat="1" ht="31.65" hidden="1" customHeight="1" x14ac:dyDescent="0.25">
      <c r="A366" s="78"/>
      <c r="B366" s="79"/>
      <c r="C366" s="182"/>
      <c r="D366" s="80"/>
      <c r="E366" s="81"/>
      <c r="F366" s="278"/>
      <c r="G366" s="83"/>
      <c r="H366" s="114"/>
      <c r="I366" s="174"/>
      <c r="J366" s="279"/>
      <c r="K366" s="86"/>
      <c r="L366" s="115"/>
      <c r="M366" s="87">
        <f t="shared" si="91"/>
        <v>0</v>
      </c>
      <c r="N366" s="88" t="e">
        <f>#REF!</f>
        <v>#REF!</v>
      </c>
      <c r="O366" s="68"/>
      <c r="P366" s="87" t="e">
        <f t="shared" si="92"/>
        <v>#REF!</v>
      </c>
    </row>
    <row r="367" spans="1:16" s="9" customFormat="1" ht="32.25" hidden="1" customHeight="1" x14ac:dyDescent="0.25">
      <c r="A367" s="78"/>
      <c r="B367" s="79"/>
      <c r="C367" s="182"/>
      <c r="D367" s="80"/>
      <c r="E367" s="81"/>
      <c r="F367" s="82"/>
      <c r="G367" s="83"/>
      <c r="H367" s="114"/>
      <c r="I367" s="174"/>
      <c r="J367" s="171"/>
      <c r="K367" s="86"/>
      <c r="L367" s="115"/>
      <c r="M367" s="87">
        <f t="shared" si="91"/>
        <v>0</v>
      </c>
      <c r="N367" s="88" t="e">
        <f>#REF!</f>
        <v>#REF!</v>
      </c>
      <c r="O367" s="68"/>
      <c r="P367" s="87" t="e">
        <f t="shared" si="92"/>
        <v>#REF!</v>
      </c>
    </row>
    <row r="368" spans="1:16" s="9" customFormat="1" ht="26.25" hidden="1" customHeight="1" x14ac:dyDescent="0.25">
      <c r="A368" s="78"/>
      <c r="B368" s="79"/>
      <c r="C368" s="275"/>
      <c r="D368" s="80"/>
      <c r="E368" s="81"/>
      <c r="F368" s="82"/>
      <c r="G368" s="283"/>
      <c r="H368" s="114"/>
      <c r="I368" s="174"/>
      <c r="J368" s="171"/>
      <c r="K368" s="86"/>
      <c r="L368" s="115"/>
      <c r="M368" s="87">
        <f t="shared" si="91"/>
        <v>0</v>
      </c>
      <c r="N368" s="88" t="e">
        <f>#REF!</f>
        <v>#REF!</v>
      </c>
      <c r="O368" s="68"/>
      <c r="P368" s="87" t="e">
        <f t="shared" si="92"/>
        <v>#REF!</v>
      </c>
    </row>
    <row r="369" spans="1:16" s="9" customFormat="1" ht="26.25" hidden="1" customHeight="1" x14ac:dyDescent="0.25">
      <c r="A369" s="78"/>
      <c r="B369" s="79"/>
      <c r="C369" s="182"/>
      <c r="D369" s="80"/>
      <c r="E369" s="81"/>
      <c r="F369" s="82"/>
      <c r="G369" s="80"/>
      <c r="H369" s="114"/>
      <c r="I369" s="174"/>
      <c r="J369" s="171"/>
      <c r="K369" s="86"/>
      <c r="L369" s="115"/>
      <c r="M369" s="87">
        <f t="shared" si="91"/>
        <v>0</v>
      </c>
      <c r="N369" s="88" t="e">
        <f>#REF!</f>
        <v>#REF!</v>
      </c>
      <c r="O369" s="68"/>
      <c r="P369" s="87" t="e">
        <f t="shared" si="92"/>
        <v>#REF!</v>
      </c>
    </row>
    <row r="370" spans="1:16" s="9" customFormat="1" ht="26.25" hidden="1" customHeight="1" x14ac:dyDescent="0.25">
      <c r="A370" s="78"/>
      <c r="B370" s="79"/>
      <c r="C370" s="182"/>
      <c r="D370" s="80"/>
      <c r="E370" s="81"/>
      <c r="F370" s="82"/>
      <c r="G370" s="80"/>
      <c r="H370" s="114"/>
      <c r="I370" s="174"/>
      <c r="J370" s="171"/>
      <c r="K370" s="86"/>
      <c r="L370" s="115"/>
      <c r="M370" s="87"/>
      <c r="N370" s="88" t="e">
        <f>#REF!</f>
        <v>#REF!</v>
      </c>
      <c r="O370" s="68"/>
      <c r="P370" s="87" t="e">
        <f t="shared" si="92"/>
        <v>#REF!</v>
      </c>
    </row>
    <row r="371" spans="1:16" s="9" customFormat="1" ht="26.25" hidden="1" customHeight="1" x14ac:dyDescent="0.25">
      <c r="A371" s="78"/>
      <c r="B371" s="79"/>
      <c r="C371" s="182"/>
      <c r="D371" s="80"/>
      <c r="E371" s="81"/>
      <c r="F371" s="82"/>
      <c r="G371" s="80"/>
      <c r="H371" s="114"/>
      <c r="I371" s="174"/>
      <c r="J371" s="171"/>
      <c r="K371" s="86"/>
      <c r="L371" s="115"/>
      <c r="M371" s="87"/>
      <c r="N371" s="88" t="e">
        <f>#REF!</f>
        <v>#REF!</v>
      </c>
      <c r="O371" s="68"/>
      <c r="P371" s="87" t="e">
        <f t="shared" si="92"/>
        <v>#REF!</v>
      </c>
    </row>
    <row r="372" spans="1:16" s="9" customFormat="1" ht="26.25" hidden="1" customHeight="1" x14ac:dyDescent="0.25">
      <c r="A372" s="78"/>
      <c r="B372" s="79"/>
      <c r="C372" s="182"/>
      <c r="D372" s="80"/>
      <c r="E372" s="81"/>
      <c r="F372" s="82"/>
      <c r="G372" s="80"/>
      <c r="H372" s="114"/>
      <c r="I372" s="174"/>
      <c r="J372" s="171"/>
      <c r="K372" s="86"/>
      <c r="L372" s="115"/>
      <c r="M372" s="87"/>
      <c r="N372" s="88" t="e">
        <f>#REF!</f>
        <v>#REF!</v>
      </c>
      <c r="O372" s="68"/>
      <c r="P372" s="87" t="e">
        <f t="shared" si="92"/>
        <v>#REF!</v>
      </c>
    </row>
    <row r="373" spans="1:16" s="56" customFormat="1" ht="26.25" hidden="1" customHeight="1" x14ac:dyDescent="0.25">
      <c r="A373" s="41"/>
      <c r="B373" s="96" t="s">
        <v>37</v>
      </c>
      <c r="C373" s="96"/>
      <c r="D373" s="222"/>
      <c r="E373" s="50"/>
      <c r="F373" s="46"/>
      <c r="G373" s="47"/>
      <c r="H373" s="258"/>
      <c r="I373" s="284"/>
      <c r="J373" s="285"/>
      <c r="K373" s="51"/>
      <c r="L373" s="221"/>
      <c r="M373" s="222"/>
      <c r="N373" s="222"/>
      <c r="O373" s="221"/>
      <c r="P373" s="222"/>
    </row>
    <row r="374" spans="1:16" s="121" customFormat="1" ht="26.25" hidden="1" customHeight="1" x14ac:dyDescent="0.25">
      <c r="A374" s="116"/>
      <c r="B374" s="117"/>
      <c r="C374" s="72"/>
      <c r="D374" s="73"/>
      <c r="E374" s="254"/>
      <c r="F374" s="170"/>
      <c r="G374" s="83"/>
      <c r="H374" s="134"/>
      <c r="I374" s="75"/>
      <c r="J374" s="76"/>
      <c r="K374" s="120"/>
      <c r="L374" s="91"/>
      <c r="M374" s="87">
        <f>K374</f>
        <v>0</v>
      </c>
      <c r="N374" s="88"/>
      <c r="O374" s="91"/>
      <c r="P374" s="87">
        <f>K374-N374</f>
        <v>0</v>
      </c>
    </row>
    <row r="375" spans="1:16" s="296" customFormat="1" ht="26.25" hidden="1" customHeight="1" x14ac:dyDescent="0.25">
      <c r="A375" s="286"/>
      <c r="B375" s="287" t="s">
        <v>39</v>
      </c>
      <c r="C375" s="287"/>
      <c r="D375" s="288"/>
      <c r="E375" s="415"/>
      <c r="F375" s="289"/>
      <c r="G375" s="290"/>
      <c r="H375" s="291"/>
      <c r="I375" s="292"/>
      <c r="J375" s="293"/>
      <c r="K375" s="294"/>
      <c r="L375" s="295"/>
      <c r="M375" s="288"/>
      <c r="N375" s="288"/>
      <c r="O375" s="295"/>
      <c r="P375" s="288"/>
    </row>
    <row r="376" spans="1:16" s="121" customFormat="1" ht="26.25" hidden="1" customHeight="1" x14ac:dyDescent="0.25">
      <c r="A376" s="116"/>
      <c r="B376" s="117"/>
      <c r="C376" s="72"/>
      <c r="D376" s="73"/>
      <c r="E376" s="254"/>
      <c r="F376" s="297"/>
      <c r="G376" s="83"/>
      <c r="H376" s="134"/>
      <c r="I376" s="298"/>
      <c r="J376" s="299"/>
      <c r="K376" s="120"/>
      <c r="L376" s="91"/>
      <c r="M376" s="87">
        <f>K376</f>
        <v>0</v>
      </c>
      <c r="N376" s="88"/>
      <c r="O376" s="91"/>
      <c r="P376" s="87">
        <f>K376-N376</f>
        <v>0</v>
      </c>
    </row>
    <row r="377" spans="1:16" s="56" customFormat="1" ht="15" hidden="1" x14ac:dyDescent="0.25">
      <c r="A377" s="41"/>
      <c r="B377" s="96" t="s">
        <v>38</v>
      </c>
      <c r="C377" s="96"/>
      <c r="D377" s="44"/>
      <c r="E377" s="45"/>
      <c r="F377" s="46"/>
      <c r="G377" s="47"/>
      <c r="H377" s="48"/>
      <c r="I377" s="49"/>
      <c r="J377" s="50"/>
      <c r="K377" s="51"/>
      <c r="L377" s="53"/>
      <c r="M377" s="54"/>
      <c r="N377" s="55"/>
      <c r="O377" s="53"/>
      <c r="P377" s="54"/>
    </row>
    <row r="378" spans="1:16" s="121" customFormat="1" ht="15" hidden="1" x14ac:dyDescent="0.25">
      <c r="A378" s="116"/>
      <c r="B378" s="117"/>
      <c r="C378" s="300"/>
      <c r="D378" s="73"/>
      <c r="E378" s="81"/>
      <c r="F378" s="170"/>
      <c r="G378" s="172"/>
      <c r="H378" s="260"/>
      <c r="I378" s="301"/>
      <c r="J378" s="302"/>
      <c r="K378" s="303"/>
      <c r="L378" s="304"/>
      <c r="M378" s="87">
        <f>K378</f>
        <v>0</v>
      </c>
      <c r="N378" s="88"/>
      <c r="O378" s="91"/>
      <c r="P378" s="87">
        <f>K378-N378</f>
        <v>0</v>
      </c>
    </row>
    <row r="379" spans="1:16" s="9" customFormat="1" ht="15" hidden="1" x14ac:dyDescent="0.25">
      <c r="A379" s="255"/>
      <c r="B379" s="256"/>
      <c r="C379" s="305"/>
      <c r="D379" s="254"/>
      <c r="E379" s="81"/>
      <c r="F379" s="170"/>
      <c r="G379" s="172"/>
      <c r="H379" s="173"/>
      <c r="I379" s="301"/>
      <c r="J379" s="302"/>
      <c r="K379" s="303"/>
      <c r="L379" s="304"/>
      <c r="M379" s="87">
        <f>K379</f>
        <v>0</v>
      </c>
      <c r="N379" s="88"/>
      <c r="O379" s="91"/>
      <c r="P379" s="87">
        <f>K379-N379</f>
        <v>0</v>
      </c>
    </row>
    <row r="380" spans="1:16" s="9" customFormat="1" ht="13.2" hidden="1" x14ac:dyDescent="0.25">
      <c r="A380" s="255"/>
      <c r="B380" s="256"/>
      <c r="C380" s="374"/>
      <c r="D380" s="254"/>
      <c r="E380" s="74"/>
      <c r="F380" s="170"/>
      <c r="G380" s="172"/>
      <c r="H380" s="173"/>
      <c r="I380" s="301"/>
      <c r="J380" s="302"/>
      <c r="K380" s="303"/>
      <c r="L380" s="306"/>
      <c r="M380" s="87">
        <f>K380</f>
        <v>0</v>
      </c>
      <c r="N380" s="88"/>
      <c r="O380" s="91"/>
      <c r="P380" s="87">
        <f>K380-N380</f>
        <v>0</v>
      </c>
    </row>
    <row r="381" spans="1:16" s="9" customFormat="1" ht="13.2" hidden="1" x14ac:dyDescent="0.25">
      <c r="A381" s="255"/>
      <c r="B381" s="256"/>
      <c r="C381" s="374"/>
      <c r="D381" s="254"/>
      <c r="E381" s="74"/>
      <c r="F381" s="170"/>
      <c r="G381" s="172"/>
      <c r="H381" s="173"/>
      <c r="I381" s="301"/>
      <c r="J381" s="302"/>
      <c r="K381" s="303"/>
      <c r="L381" s="307"/>
      <c r="M381" s="87">
        <f>K381</f>
        <v>0</v>
      </c>
      <c r="N381" s="88"/>
      <c r="O381" s="91"/>
      <c r="P381" s="87">
        <f>K381-N381</f>
        <v>0</v>
      </c>
    </row>
    <row r="382" spans="1:16" s="180" customFormat="1" ht="27.9" hidden="1" customHeight="1" x14ac:dyDescent="0.25">
      <c r="A382" s="262"/>
      <c r="B382" s="263"/>
      <c r="C382" s="264"/>
      <c r="D382" s="308"/>
      <c r="E382" s="309"/>
      <c r="F382" s="310"/>
      <c r="G382" s="311"/>
      <c r="H382" s="166"/>
      <c r="I382" s="301"/>
      <c r="J382" s="302"/>
      <c r="K382" s="303"/>
      <c r="L382" s="169"/>
      <c r="M382" s="312">
        <f>K382</f>
        <v>0</v>
      </c>
      <c r="N382" s="313"/>
      <c r="O382" s="304"/>
      <c r="P382" s="312">
        <f>K382-N382</f>
        <v>0</v>
      </c>
    </row>
    <row r="383" spans="1:16" s="154" customFormat="1" ht="22.65" hidden="1" customHeight="1" collapsed="1" x14ac:dyDescent="0.25">
      <c r="A383" s="143" t="s">
        <v>3</v>
      </c>
      <c r="B383" s="144"/>
      <c r="C383" s="145"/>
      <c r="D383" s="146"/>
      <c r="E383" s="146"/>
      <c r="F383" s="147"/>
      <c r="G383" s="147"/>
      <c r="H383" s="148"/>
      <c r="I383" s="149"/>
      <c r="J383" s="184"/>
      <c r="K383" s="150"/>
      <c r="L383" s="152"/>
      <c r="M383" s="153"/>
      <c r="N383" s="153"/>
      <c r="O383" s="152"/>
      <c r="P383" s="153"/>
    </row>
    <row r="384" spans="1:16" s="40" customFormat="1" ht="23.25" hidden="1" customHeight="1" x14ac:dyDescent="0.3">
      <c r="A384" s="35" t="s">
        <v>11</v>
      </c>
      <c r="B384" s="36"/>
      <c r="C384" s="37"/>
      <c r="D384" s="38"/>
      <c r="E384" s="38"/>
      <c r="F384" s="39"/>
      <c r="G384" s="39"/>
      <c r="H384" s="155"/>
      <c r="J384" s="156"/>
      <c r="K384" s="157"/>
      <c r="L384" s="155"/>
      <c r="M384" s="158"/>
      <c r="N384" s="158"/>
      <c r="O384" s="155"/>
      <c r="P384" s="158"/>
    </row>
    <row r="385" spans="1:18" s="9" customFormat="1" ht="16.5" hidden="1" customHeight="1" x14ac:dyDescent="0.25">
      <c r="A385" s="97"/>
      <c r="B385" s="96"/>
      <c r="C385" s="96"/>
      <c r="D385" s="98"/>
      <c r="E385" s="99"/>
      <c r="F385" s="100"/>
      <c r="G385" s="101"/>
      <c r="H385" s="102"/>
      <c r="I385" s="103"/>
      <c r="J385" s="105"/>
      <c r="K385" s="106"/>
      <c r="L385" s="53"/>
      <c r="M385" s="54"/>
      <c r="N385" s="55"/>
      <c r="O385" s="53"/>
      <c r="P385" s="54"/>
    </row>
    <row r="386" spans="1:18" s="121" customFormat="1" ht="30.75" hidden="1" customHeight="1" x14ac:dyDescent="0.25">
      <c r="A386" s="78"/>
      <c r="B386" s="79"/>
      <c r="C386" s="183"/>
      <c r="D386" s="60"/>
      <c r="E386" s="107"/>
      <c r="F386" s="82"/>
      <c r="G386" s="83"/>
      <c r="H386" s="134"/>
      <c r="I386" s="84"/>
      <c r="J386" s="85"/>
      <c r="K386" s="86"/>
      <c r="L386" s="135"/>
      <c r="M386" s="87">
        <f>K386</f>
        <v>0</v>
      </c>
      <c r="N386" s="88" t="e">
        <f>#REF!</f>
        <v>#REF!</v>
      </c>
      <c r="O386" s="135"/>
      <c r="P386" s="87" t="e">
        <f>K386-N386</f>
        <v>#REF!</v>
      </c>
    </row>
    <row r="387" spans="1:18" s="154" customFormat="1" ht="22.65" hidden="1" customHeight="1" x14ac:dyDescent="0.25">
      <c r="A387" s="143" t="s">
        <v>21</v>
      </c>
      <c r="B387" s="144"/>
      <c r="C387" s="145"/>
      <c r="D387" s="146"/>
      <c r="E387" s="146"/>
      <c r="F387" s="147"/>
      <c r="G387" s="147"/>
      <c r="H387" s="148"/>
      <c r="I387" s="149"/>
      <c r="J387" s="184"/>
      <c r="K387" s="150"/>
      <c r="L387" s="152"/>
      <c r="M387" s="153"/>
      <c r="N387" s="151"/>
      <c r="O387" s="152"/>
      <c r="P387" s="153"/>
    </row>
    <row r="388" spans="1:18" s="195" customFormat="1" ht="21" hidden="1" customHeight="1" x14ac:dyDescent="0.25">
      <c r="A388" s="185" t="s">
        <v>24</v>
      </c>
      <c r="B388" s="186"/>
      <c r="C388" s="187"/>
      <c r="D388" s="188"/>
      <c r="E388" s="188"/>
      <c r="F388" s="189"/>
      <c r="G388" s="189"/>
      <c r="H388" s="190"/>
      <c r="I388" s="191"/>
      <c r="J388" s="186"/>
      <c r="K388" s="192"/>
      <c r="L388" s="194"/>
      <c r="M388" s="192"/>
      <c r="N388" s="193"/>
      <c r="O388" s="194"/>
      <c r="P388" s="192"/>
    </row>
    <row r="389" spans="1:18" s="195" customFormat="1" ht="27.9" hidden="1" customHeight="1" x14ac:dyDescent="0.25">
      <c r="A389" s="314" t="s">
        <v>25</v>
      </c>
      <c r="B389" s="315"/>
      <c r="C389" s="316"/>
      <c r="D389" s="317"/>
      <c r="E389" s="317"/>
      <c r="F389" s="318"/>
      <c r="G389" s="318"/>
      <c r="H389" s="319"/>
      <c r="I389" s="320"/>
      <c r="J389" s="315"/>
      <c r="K389" s="321"/>
      <c r="L389" s="194"/>
      <c r="M389" s="322">
        <f t="shared" ref="M389:N389" si="93">M388+M314</f>
        <v>1390</v>
      </c>
      <c r="N389" s="322">
        <f t="shared" si="93"/>
        <v>322</v>
      </c>
      <c r="O389" s="194"/>
      <c r="P389" s="322">
        <f>P388+P314</f>
        <v>1069</v>
      </c>
    </row>
    <row r="390" spans="1:18" s="327" customFormat="1" ht="13.2" hidden="1" x14ac:dyDescent="0.25">
      <c r="A390" s="323"/>
      <c r="B390" s="323"/>
      <c r="C390" s="324"/>
      <c r="D390" s="325"/>
      <c r="E390" s="416"/>
      <c r="F390" s="325"/>
      <c r="G390" s="325"/>
      <c r="H390" s="326"/>
      <c r="J390" s="323"/>
      <c r="K390" s="323"/>
      <c r="L390" s="326"/>
      <c r="M390" s="323"/>
      <c r="N390" s="323"/>
      <c r="O390" s="326"/>
      <c r="P390" s="323"/>
    </row>
    <row r="391" spans="1:18" ht="22.65" hidden="1" customHeight="1" x14ac:dyDescent="0.25"/>
    <row r="392" spans="1:18" ht="22.65" hidden="1" customHeight="1" x14ac:dyDescent="0.25"/>
    <row r="394" spans="1:18" s="9" customFormat="1" ht="22.65" customHeight="1" x14ac:dyDescent="0.25">
      <c r="A394" s="2"/>
      <c r="B394" s="2"/>
      <c r="C394" s="3"/>
      <c r="D394" s="4"/>
      <c r="E394" s="4"/>
      <c r="F394" s="5"/>
      <c r="G394" s="5"/>
      <c r="H394" s="6"/>
      <c r="I394" s="7"/>
      <c r="J394" s="2"/>
      <c r="K394" s="8"/>
      <c r="L394" s="6"/>
      <c r="M394" s="8"/>
      <c r="N394" s="8"/>
      <c r="O394" s="6"/>
      <c r="P394" s="8"/>
      <c r="Q394" s="10"/>
    </row>
    <row r="395" spans="1:18" ht="22.65" customHeight="1" x14ac:dyDescent="0.25">
      <c r="R395" s="483" t="s">
        <v>93</v>
      </c>
    </row>
  </sheetData>
  <dataConsolidate/>
  <mergeCells count="44">
    <mergeCell ref="C239:C240"/>
    <mergeCell ref="B293:C293"/>
    <mergeCell ref="B294:C294"/>
    <mergeCell ref="B295:C295"/>
    <mergeCell ref="B296:C296"/>
    <mergeCell ref="C318:C319"/>
    <mergeCell ref="C274:C276"/>
    <mergeCell ref="C149:C150"/>
    <mergeCell ref="C152:C153"/>
    <mergeCell ref="C155:C157"/>
    <mergeCell ref="C161:C180"/>
    <mergeCell ref="C182:C194"/>
    <mergeCell ref="C195:C196"/>
    <mergeCell ref="C197:C201"/>
    <mergeCell ref="C202:C204"/>
    <mergeCell ref="C209:C211"/>
    <mergeCell ref="C214:C215"/>
    <mergeCell ref="C269:C270"/>
    <mergeCell ref="C219:C220"/>
    <mergeCell ref="C262:C267"/>
    <mergeCell ref="C227:C228"/>
    <mergeCell ref="C237:C238"/>
    <mergeCell ref="C132:C133"/>
    <mergeCell ref="C49:C50"/>
    <mergeCell ref="C75:C78"/>
    <mergeCell ref="C89:C90"/>
    <mergeCell ref="C94:C96"/>
    <mergeCell ref="C98:C99"/>
    <mergeCell ref="C57:C58"/>
    <mergeCell ref="C122:C126"/>
    <mergeCell ref="C111:C112"/>
    <mergeCell ref="C113:C121"/>
    <mergeCell ref="C24:C25"/>
    <mergeCell ref="C37:C38"/>
    <mergeCell ref="C39:C41"/>
    <mergeCell ref="C43:C44"/>
    <mergeCell ref="C45:C46"/>
    <mergeCell ref="A7:L7"/>
    <mergeCell ref="M7:O8"/>
    <mergeCell ref="P7:P9"/>
    <mergeCell ref="A8:D9"/>
    <mergeCell ref="E8:E10"/>
    <mergeCell ref="F8:G9"/>
    <mergeCell ref="I8:K8"/>
  </mergeCells>
  <printOptions horizontalCentered="1"/>
  <pageMargins left="0.25" right="0.25" top="0.75" bottom="0.75" header="0.3" footer="0.3"/>
  <pageSetup paperSize="9" scale="82" fitToHeight="0" orientation="landscape" r:id="rId1"/>
  <headerFooter>
    <oddHeader xml:space="preserve">&amp;R  </oddHeader>
    <oddFooter>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383"/>
  <sheetViews>
    <sheetView view="pageBreakPreview" topLeftCell="A4" zoomScaleNormal="80" zoomScaleSheetLayoutView="100" workbookViewId="0">
      <pane xSplit="2" ySplit="7" topLeftCell="C104" activePane="bottomRight" state="frozen"/>
      <selection activeCell="A4" sqref="A4"/>
      <selection pane="topRight" activeCell="C4" sqref="C4"/>
      <selection pane="bottomLeft" activeCell="A13" sqref="A13"/>
      <selection pane="bottomRight" activeCell="I101" sqref="I101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3" customWidth="1"/>
    <col min="4" max="4" width="12.44140625" style="4" customWidth="1"/>
    <col min="5" max="5" width="14.109375" style="4" customWidth="1"/>
    <col min="6" max="6" width="13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9" ht="13.2" x14ac:dyDescent="0.25">
      <c r="M1" s="9"/>
      <c r="N1" s="9"/>
      <c r="P1" s="9"/>
    </row>
    <row r="2" spans="1:19" ht="13.2" x14ac:dyDescent="0.25">
      <c r="M2" s="9"/>
      <c r="N2" s="9"/>
      <c r="P2" s="9"/>
    </row>
    <row r="3" spans="1:19" ht="13.2" x14ac:dyDescent="0.25">
      <c r="M3" s="9"/>
      <c r="N3" s="9"/>
      <c r="P3" s="9"/>
    </row>
    <row r="4" spans="1:19" s="17" customFormat="1" ht="29.25" customHeight="1" x14ac:dyDescent="0.4">
      <c r="A4" s="11"/>
      <c r="B4" s="11"/>
      <c r="C4" s="12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9" s="24" customFormat="1" ht="20.25" customHeight="1" x14ac:dyDescent="0.35">
      <c r="A5" s="18"/>
      <c r="B5" s="18"/>
      <c r="C5" s="19"/>
      <c r="D5" s="20"/>
      <c r="E5" s="412"/>
      <c r="F5" s="21"/>
      <c r="G5" s="21"/>
      <c r="H5" s="22"/>
      <c r="I5" s="23" t="s">
        <v>696</v>
      </c>
      <c r="J5" s="23"/>
      <c r="K5" s="23"/>
      <c r="L5" s="22"/>
      <c r="M5" s="23"/>
      <c r="N5" s="23"/>
      <c r="O5" s="22"/>
      <c r="P5" s="23"/>
    </row>
    <row r="6" spans="1:19" s="9" customFormat="1" ht="12" customHeight="1" x14ac:dyDescent="0.25">
      <c r="A6" s="8"/>
      <c r="B6" s="8"/>
      <c r="C6" s="358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9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9" s="9" customFormat="1" ht="15" x14ac:dyDescent="0.25">
      <c r="A8" s="775" t="s">
        <v>13</v>
      </c>
      <c r="B8" s="775"/>
      <c r="C8" s="775"/>
      <c r="D8" s="776"/>
      <c r="E8" s="779" t="s">
        <v>48</v>
      </c>
      <c r="F8" s="782" t="s">
        <v>41</v>
      </c>
      <c r="G8" s="783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9" s="9" customFormat="1" ht="15.75" customHeight="1" x14ac:dyDescent="0.25">
      <c r="A9" s="777"/>
      <c r="B9" s="777"/>
      <c r="C9" s="777"/>
      <c r="D9" s="778"/>
      <c r="E9" s="780"/>
      <c r="F9" s="784"/>
      <c r="G9" s="785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9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30"/>
      <c r="I10" s="31" t="s">
        <v>9</v>
      </c>
      <c r="J10" s="32" t="s">
        <v>0</v>
      </c>
      <c r="K10" s="32" t="s">
        <v>349</v>
      </c>
      <c r="L10" s="355"/>
      <c r="M10" s="33" t="s">
        <v>15</v>
      </c>
      <c r="N10" s="33" t="s">
        <v>15</v>
      </c>
      <c r="O10" s="30"/>
      <c r="P10" s="33" t="s">
        <v>15</v>
      </c>
      <c r="S10" s="34" t="s">
        <v>134</v>
      </c>
    </row>
    <row r="11" spans="1:19" s="40" customFormat="1" ht="30" customHeight="1" x14ac:dyDescent="0.3">
      <c r="A11" s="35" t="s">
        <v>6</v>
      </c>
      <c r="B11" s="36"/>
      <c r="C11" s="37"/>
      <c r="D11" s="38"/>
      <c r="E11" s="38"/>
      <c r="F11" s="39"/>
      <c r="G11" s="39"/>
      <c r="H11" s="155"/>
      <c r="J11" s="156"/>
      <c r="K11" s="157"/>
      <c r="L11" s="155"/>
      <c r="M11" s="158"/>
      <c r="N11" s="158"/>
      <c r="O11" s="155"/>
      <c r="P11" s="158"/>
    </row>
    <row r="12" spans="1:19" s="56" customFormat="1" ht="15" x14ac:dyDescent="0.25">
      <c r="A12" s="361"/>
      <c r="B12" s="334" t="s">
        <v>44</v>
      </c>
      <c r="C12" s="43"/>
      <c r="D12" s="44"/>
      <c r="E12" s="45"/>
      <c r="F12" s="569">
        <f>SUM(F13:F20)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9" s="9" customFormat="1" ht="27.9" customHeight="1" x14ac:dyDescent="0.25">
      <c r="A13" s="78"/>
      <c r="B13" s="79"/>
      <c r="C13" s="391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9">
        <v>1</v>
      </c>
      <c r="N13" s="77"/>
      <c r="O13" s="357"/>
      <c r="P13" s="434">
        <f t="shared" ref="P13" si="0">M13-N13</f>
        <v>1</v>
      </c>
    </row>
    <row r="14" spans="1:19" s="9" customFormat="1" ht="27.9" customHeight="1" x14ac:dyDescent="0.25">
      <c r="A14" s="78"/>
      <c r="B14" s="79"/>
      <c r="C14" s="391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410">
        <f t="shared" ref="M14:M19" si="1">K14</f>
        <v>1</v>
      </c>
      <c r="N14" s="376"/>
      <c r="O14" s="332"/>
      <c r="P14" s="435">
        <f t="shared" ref="P14:P18" si="2">K14-N14</f>
        <v>1</v>
      </c>
    </row>
    <row r="15" spans="1:19" s="9" customFormat="1" ht="27.9" customHeight="1" x14ac:dyDescent="0.25">
      <c r="A15" s="78"/>
      <c r="B15" s="79"/>
      <c r="C15" s="391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410">
        <f t="shared" si="1"/>
        <v>1</v>
      </c>
      <c r="N15" s="376"/>
      <c r="O15" s="332"/>
      <c r="P15" s="435">
        <f t="shared" si="2"/>
        <v>1</v>
      </c>
    </row>
    <row r="16" spans="1:19" s="9" customFormat="1" ht="37.5" customHeight="1" x14ac:dyDescent="0.25">
      <c r="A16" s="78"/>
      <c r="B16" s="79"/>
      <c r="C16" s="561"/>
      <c r="D16" s="351"/>
      <c r="E16" s="341" t="s">
        <v>634</v>
      </c>
      <c r="F16" s="566"/>
      <c r="G16" s="83">
        <v>45266</v>
      </c>
      <c r="H16" s="429"/>
      <c r="I16" s="468" t="s">
        <v>633</v>
      </c>
      <c r="J16" s="335" t="s">
        <v>320</v>
      </c>
      <c r="K16" s="431">
        <v>3</v>
      </c>
      <c r="L16" s="430"/>
      <c r="M16" s="410">
        <f>K16</f>
        <v>3</v>
      </c>
      <c r="N16" s="528"/>
      <c r="O16" s="332"/>
      <c r="P16" s="435">
        <f>M16-N16</f>
        <v>3</v>
      </c>
    </row>
    <row r="17" spans="1:17" s="9" customFormat="1" ht="32.25" customHeight="1" x14ac:dyDescent="0.25">
      <c r="A17" s="78"/>
      <c r="B17" s="79"/>
      <c r="C17" s="578"/>
      <c r="D17" s="351"/>
      <c r="E17" s="341" t="s">
        <v>634</v>
      </c>
      <c r="F17" s="567"/>
      <c r="G17" s="83">
        <v>45266</v>
      </c>
      <c r="H17" s="429"/>
      <c r="I17" s="468" t="s">
        <v>643</v>
      </c>
      <c r="J17" s="335" t="s">
        <v>644</v>
      </c>
      <c r="K17" s="431">
        <v>3</v>
      </c>
      <c r="L17" s="430"/>
      <c r="M17" s="410">
        <f>K17</f>
        <v>3</v>
      </c>
      <c r="N17" s="528">
        <v>3</v>
      </c>
      <c r="O17" s="332"/>
      <c r="P17" s="435">
        <f>M17-N17</f>
        <v>0</v>
      </c>
    </row>
    <row r="18" spans="1:17" s="9" customFormat="1" ht="37.5" customHeight="1" x14ac:dyDescent="0.25">
      <c r="A18" s="78"/>
      <c r="B18" s="79"/>
      <c r="C18" s="578"/>
      <c r="D18" s="350">
        <v>45361</v>
      </c>
      <c r="E18" s="341" t="s">
        <v>50</v>
      </c>
      <c r="F18" s="567"/>
      <c r="G18" s="83">
        <v>45259</v>
      </c>
      <c r="H18" s="429"/>
      <c r="I18" s="468" t="s">
        <v>591</v>
      </c>
      <c r="J18" s="336" t="s">
        <v>592</v>
      </c>
      <c r="K18" s="453">
        <v>2</v>
      </c>
      <c r="L18" s="430"/>
      <c r="M18" s="410">
        <f t="shared" si="1"/>
        <v>2</v>
      </c>
      <c r="N18" s="376"/>
      <c r="O18" s="332"/>
      <c r="P18" s="435">
        <f t="shared" si="2"/>
        <v>2</v>
      </c>
    </row>
    <row r="19" spans="1:17" s="9" customFormat="1" ht="36.75" customHeight="1" x14ac:dyDescent="0.25">
      <c r="A19" s="78"/>
      <c r="B19" s="79"/>
      <c r="C19" s="547"/>
      <c r="D19" s="455">
        <v>45285</v>
      </c>
      <c r="E19" s="428" t="s">
        <v>50</v>
      </c>
      <c r="F19" s="456"/>
      <c r="G19" s="83">
        <v>45272</v>
      </c>
      <c r="H19" s="457"/>
      <c r="I19" s="468" t="s">
        <v>652</v>
      </c>
      <c r="J19" s="335" t="s">
        <v>315</v>
      </c>
      <c r="K19" s="443">
        <v>12</v>
      </c>
      <c r="L19" s="458"/>
      <c r="M19" s="137">
        <f t="shared" si="1"/>
        <v>12</v>
      </c>
      <c r="N19" s="442"/>
      <c r="O19" s="438"/>
      <c r="P19" s="137">
        <f t="shared" ref="P19:P20" si="3">M19-N19</f>
        <v>12</v>
      </c>
    </row>
    <row r="20" spans="1:17" s="9" customFormat="1" ht="39.75" customHeight="1" x14ac:dyDescent="0.25">
      <c r="A20" s="78"/>
      <c r="B20" s="379"/>
      <c r="C20" s="446"/>
      <c r="D20" s="484" t="s">
        <v>90</v>
      </c>
      <c r="E20" s="428" t="s">
        <v>50</v>
      </c>
      <c r="F20" s="568">
        <v>34885.82</v>
      </c>
      <c r="G20" s="366"/>
      <c r="H20" s="90"/>
      <c r="I20" s="468" t="s">
        <v>72</v>
      </c>
      <c r="J20" s="481" t="s">
        <v>70</v>
      </c>
      <c r="K20" s="353">
        <v>2</v>
      </c>
      <c r="L20" s="91"/>
      <c r="M20" s="137">
        <v>1</v>
      </c>
      <c r="N20" s="136"/>
      <c r="O20" s="91"/>
      <c r="P20" s="137">
        <f t="shared" si="3"/>
        <v>1</v>
      </c>
    </row>
    <row r="21" spans="1:17" s="56" customFormat="1" ht="15" x14ac:dyDescent="0.25">
      <c r="A21" s="41"/>
      <c r="B21" s="330" t="s">
        <v>88</v>
      </c>
      <c r="C21" s="368"/>
      <c r="D21" s="44"/>
      <c r="E21" s="45"/>
      <c r="F21" s="46"/>
      <c r="G21" s="47"/>
      <c r="H21" s="48"/>
      <c r="I21" s="49"/>
      <c r="J21" s="50"/>
      <c r="K21" s="51"/>
      <c r="L21" s="53"/>
      <c r="M21" s="54"/>
      <c r="N21" s="55"/>
      <c r="O21" s="53"/>
      <c r="P21" s="54"/>
    </row>
    <row r="22" spans="1:17" s="1" customFormat="1" ht="16.5" customHeight="1" x14ac:dyDescent="0.25">
      <c r="A22" s="474"/>
      <c r="B22" s="462" t="s">
        <v>79</v>
      </c>
      <c r="C22" s="330"/>
      <c r="D22" s="486"/>
      <c r="E22" s="475"/>
      <c r="F22" s="476"/>
      <c r="G22" s="477"/>
      <c r="H22" s="463"/>
      <c r="I22" s="478"/>
      <c r="J22" s="479"/>
      <c r="K22" s="480"/>
      <c r="L22" s="464"/>
      <c r="M22" s="54"/>
      <c r="N22" s="55"/>
      <c r="O22" s="464"/>
      <c r="P22" s="465"/>
    </row>
    <row r="23" spans="1:17" s="9" customFormat="1" ht="41.25" customHeight="1" x14ac:dyDescent="0.25">
      <c r="A23" s="78"/>
      <c r="B23" s="79"/>
      <c r="C23" s="490" t="s">
        <v>220</v>
      </c>
      <c r="D23" s="351">
        <v>45117</v>
      </c>
      <c r="E23" s="341" t="s">
        <v>50</v>
      </c>
      <c r="F23" s="82"/>
      <c r="G23" s="83">
        <v>45000</v>
      </c>
      <c r="H23" s="429"/>
      <c r="I23" s="468" t="s">
        <v>222</v>
      </c>
      <c r="J23" s="335" t="s">
        <v>221</v>
      </c>
      <c r="K23" s="343">
        <v>1</v>
      </c>
      <c r="L23" s="430"/>
      <c r="M23" s="631">
        <f>K23</f>
        <v>1</v>
      </c>
      <c r="N23" s="376"/>
      <c r="O23" s="332"/>
      <c r="P23" s="435">
        <f t="shared" ref="P23" si="4">M23-N23</f>
        <v>1</v>
      </c>
    </row>
    <row r="24" spans="1:17" s="56" customFormat="1" ht="18" customHeight="1" x14ac:dyDescent="0.25">
      <c r="A24" s="41"/>
      <c r="B24" s="330" t="s">
        <v>94</v>
      </c>
      <c r="C24" s="96"/>
      <c r="D24" s="44"/>
      <c r="E24" s="45"/>
      <c r="F24" s="46"/>
      <c r="G24" s="47"/>
      <c r="H24" s="48"/>
      <c r="I24" s="49"/>
      <c r="J24" s="50"/>
      <c r="K24" s="51"/>
      <c r="L24" s="53"/>
      <c r="M24" s="49"/>
      <c r="N24" s="55"/>
      <c r="O24" s="53"/>
      <c r="P24" s="54"/>
      <c r="Q24" s="424"/>
    </row>
    <row r="25" spans="1:17" s="9" customFormat="1" ht="42.75" customHeight="1" x14ac:dyDescent="0.25">
      <c r="A25" s="78"/>
      <c r="B25" s="79"/>
      <c r="C25" s="490" t="s">
        <v>621</v>
      </c>
      <c r="D25" s="351">
        <v>45268</v>
      </c>
      <c r="E25" s="341" t="s">
        <v>50</v>
      </c>
      <c r="F25" s="82"/>
      <c r="G25" s="83">
        <v>45261</v>
      </c>
      <c r="H25" s="429"/>
      <c r="I25" s="468" t="s">
        <v>619</v>
      </c>
      <c r="J25" s="335" t="s">
        <v>620</v>
      </c>
      <c r="K25" s="343">
        <v>6</v>
      </c>
      <c r="L25" s="430"/>
      <c r="M25" s="410">
        <f>K25</f>
        <v>6</v>
      </c>
      <c r="N25" s="376"/>
      <c r="O25" s="332"/>
      <c r="P25" s="435">
        <f t="shared" ref="P25:P26" si="5">M25-N25</f>
        <v>6</v>
      </c>
    </row>
    <row r="26" spans="1:17" s="9" customFormat="1" ht="42" customHeight="1" x14ac:dyDescent="0.25">
      <c r="A26" s="78"/>
      <c r="B26" s="79"/>
      <c r="C26" s="490" t="s">
        <v>636</v>
      </c>
      <c r="D26" s="351">
        <v>45274</v>
      </c>
      <c r="E26" s="341" t="s">
        <v>50</v>
      </c>
      <c r="F26" s="82"/>
      <c r="G26" s="83">
        <v>45267</v>
      </c>
      <c r="H26" s="429"/>
      <c r="I26" s="468" t="s">
        <v>637</v>
      </c>
      <c r="J26" s="335" t="s">
        <v>620</v>
      </c>
      <c r="K26" s="343">
        <v>8</v>
      </c>
      <c r="L26" s="430"/>
      <c r="M26" s="410">
        <f>K26</f>
        <v>8</v>
      </c>
      <c r="N26" s="376"/>
      <c r="O26" s="332"/>
      <c r="P26" s="435">
        <f t="shared" si="5"/>
        <v>8</v>
      </c>
    </row>
    <row r="27" spans="1:17" s="56" customFormat="1" ht="18.75" customHeight="1" x14ac:dyDescent="0.25">
      <c r="A27" s="41"/>
      <c r="B27" s="330" t="s">
        <v>614</v>
      </c>
      <c r="C27" s="96"/>
      <c r="D27" s="44"/>
      <c r="E27" s="45"/>
      <c r="F27" s="46"/>
      <c r="G27" s="47"/>
      <c r="H27" s="48"/>
      <c r="I27" s="49"/>
      <c r="J27" s="50"/>
      <c r="K27" s="51"/>
      <c r="L27" s="53"/>
      <c r="M27" s="54"/>
      <c r="N27" s="55"/>
      <c r="O27" s="53"/>
      <c r="P27" s="54"/>
    </row>
    <row r="28" spans="1:17" s="9" customFormat="1" ht="41.25" customHeight="1" x14ac:dyDescent="0.25">
      <c r="A28" s="78"/>
      <c r="B28" s="79"/>
      <c r="C28" s="490" t="s">
        <v>615</v>
      </c>
      <c r="D28" s="351" t="s">
        <v>616</v>
      </c>
      <c r="E28" s="341">
        <v>45322</v>
      </c>
      <c r="F28" s="82"/>
      <c r="G28" s="83">
        <v>45261</v>
      </c>
      <c r="H28" s="429"/>
      <c r="I28" s="468" t="s">
        <v>617</v>
      </c>
      <c r="J28" s="335" t="s">
        <v>618</v>
      </c>
      <c r="K28" s="443">
        <v>1</v>
      </c>
      <c r="L28" s="430"/>
      <c r="M28" s="410">
        <v>1</v>
      </c>
      <c r="N28" s="376">
        <v>1</v>
      </c>
      <c r="O28" s="332"/>
      <c r="P28" s="435">
        <v>0</v>
      </c>
    </row>
    <row r="29" spans="1:17" s="9" customFormat="1" ht="16.5" customHeight="1" x14ac:dyDescent="0.25">
      <c r="A29" s="97"/>
      <c r="B29" s="330" t="s">
        <v>45</v>
      </c>
      <c r="C29" s="96"/>
      <c r="D29" s="98"/>
      <c r="E29" s="99"/>
      <c r="F29" s="100"/>
      <c r="G29" s="101"/>
      <c r="H29" s="102"/>
      <c r="I29" s="103"/>
      <c r="J29" s="105"/>
      <c r="K29" s="106"/>
      <c r="L29" s="53"/>
      <c r="M29" s="54"/>
      <c r="N29" s="55"/>
      <c r="O29" s="53"/>
      <c r="P29" s="54"/>
    </row>
    <row r="30" spans="1:17" s="121" customFormat="1" ht="39.6" x14ac:dyDescent="0.25">
      <c r="A30" s="78"/>
      <c r="B30" s="132"/>
      <c r="C30" s="472"/>
      <c r="D30" s="426"/>
      <c r="E30" s="337"/>
      <c r="F30" s="93"/>
      <c r="G30" s="94"/>
      <c r="H30" s="134"/>
      <c r="I30" s="468" t="s">
        <v>67</v>
      </c>
      <c r="J30" s="336" t="s">
        <v>68</v>
      </c>
      <c r="K30" s="470">
        <v>4</v>
      </c>
      <c r="L30" s="135"/>
      <c r="M30" s="87">
        <f t="shared" ref="M30:M66" si="6">K30</f>
        <v>4</v>
      </c>
      <c r="N30" s="130"/>
      <c r="O30" s="135"/>
      <c r="P30" s="137">
        <f t="shared" ref="P30:P66" si="7">M30-N30</f>
        <v>4</v>
      </c>
    </row>
    <row r="31" spans="1:17" s="121" customFormat="1" ht="30.75" customHeight="1" x14ac:dyDescent="0.25">
      <c r="A31" s="78"/>
      <c r="B31" s="132"/>
      <c r="C31" s="467"/>
      <c r="D31" s="426">
        <v>44992</v>
      </c>
      <c r="E31" s="337" t="s">
        <v>50</v>
      </c>
      <c r="F31" s="93"/>
      <c r="G31" s="426">
        <v>44902</v>
      </c>
      <c r="H31" s="134"/>
      <c r="I31" s="468" t="s">
        <v>143</v>
      </c>
      <c r="J31" s="336" t="s">
        <v>142</v>
      </c>
      <c r="K31" s="470">
        <v>1</v>
      </c>
      <c r="L31" s="135"/>
      <c r="M31" s="87">
        <f t="shared" si="6"/>
        <v>1</v>
      </c>
      <c r="N31" s="130">
        <v>1</v>
      </c>
      <c r="O31" s="135"/>
      <c r="P31" s="137">
        <f t="shared" si="7"/>
        <v>0</v>
      </c>
    </row>
    <row r="32" spans="1:17" s="121" customFormat="1" ht="36.75" customHeight="1" x14ac:dyDescent="0.25">
      <c r="A32" s="78"/>
      <c r="B32" s="132"/>
      <c r="C32" s="549" t="s">
        <v>146</v>
      </c>
      <c r="D32" s="426">
        <v>44992</v>
      </c>
      <c r="E32" s="337" t="s">
        <v>50</v>
      </c>
      <c r="F32" s="93"/>
      <c r="G32" s="426">
        <v>44902</v>
      </c>
      <c r="H32" s="134"/>
      <c r="I32" s="468" t="s">
        <v>148</v>
      </c>
      <c r="J32" s="336" t="s">
        <v>147</v>
      </c>
      <c r="K32" s="470">
        <v>1</v>
      </c>
      <c r="L32" s="135"/>
      <c r="M32" s="87">
        <f t="shared" si="6"/>
        <v>1</v>
      </c>
      <c r="N32" s="130">
        <v>1</v>
      </c>
      <c r="O32" s="135"/>
      <c r="P32" s="137">
        <f t="shared" si="7"/>
        <v>0</v>
      </c>
    </row>
    <row r="33" spans="1:16" s="121" customFormat="1" ht="25.5" customHeight="1" x14ac:dyDescent="0.25">
      <c r="A33" s="78"/>
      <c r="B33" s="132"/>
      <c r="C33" s="790" t="s">
        <v>149</v>
      </c>
      <c r="D33" s="426">
        <v>44992</v>
      </c>
      <c r="E33" s="337" t="s">
        <v>50</v>
      </c>
      <c r="F33" s="93"/>
      <c r="G33" s="426">
        <v>44902</v>
      </c>
      <c r="H33" s="134"/>
      <c r="I33" s="468" t="s">
        <v>152</v>
      </c>
      <c r="J33" s="336" t="s">
        <v>150</v>
      </c>
      <c r="K33" s="470">
        <v>2</v>
      </c>
      <c r="L33" s="135"/>
      <c r="M33" s="87">
        <f t="shared" si="6"/>
        <v>2</v>
      </c>
      <c r="N33" s="130">
        <v>2</v>
      </c>
      <c r="O33" s="135"/>
      <c r="P33" s="137">
        <f t="shared" si="7"/>
        <v>0</v>
      </c>
    </row>
    <row r="34" spans="1:16" s="121" customFormat="1" ht="34.5" customHeight="1" x14ac:dyDescent="0.25">
      <c r="A34" s="78"/>
      <c r="B34" s="132"/>
      <c r="C34" s="791"/>
      <c r="D34" s="426">
        <v>44992</v>
      </c>
      <c r="E34" s="337" t="s">
        <v>50</v>
      </c>
      <c r="F34" s="93"/>
      <c r="G34" s="426">
        <v>44902</v>
      </c>
      <c r="H34" s="134"/>
      <c r="I34" s="468" t="s">
        <v>153</v>
      </c>
      <c r="J34" s="336" t="s">
        <v>151</v>
      </c>
      <c r="K34" s="470">
        <v>1</v>
      </c>
      <c r="L34" s="135"/>
      <c r="M34" s="87">
        <f t="shared" si="6"/>
        <v>1</v>
      </c>
      <c r="N34" s="130"/>
      <c r="O34" s="135"/>
      <c r="P34" s="137">
        <f t="shared" si="7"/>
        <v>1</v>
      </c>
    </row>
    <row r="35" spans="1:16" s="121" customFormat="1" ht="27" customHeight="1" x14ac:dyDescent="0.25">
      <c r="A35" s="78"/>
      <c r="B35" s="132"/>
      <c r="C35" s="791"/>
      <c r="D35" s="426">
        <v>45070</v>
      </c>
      <c r="E35" s="365" t="s">
        <v>50</v>
      </c>
      <c r="F35" s="93"/>
      <c r="G35" s="426">
        <v>44950</v>
      </c>
      <c r="H35" s="134"/>
      <c r="I35" s="468" t="s">
        <v>205</v>
      </c>
      <c r="J35" s="336" t="s">
        <v>202</v>
      </c>
      <c r="K35" s="513">
        <v>1</v>
      </c>
      <c r="L35" s="135"/>
      <c r="M35" s="87">
        <f t="shared" si="6"/>
        <v>1</v>
      </c>
      <c r="N35" s="130"/>
      <c r="O35" s="135"/>
      <c r="P35" s="137">
        <f t="shared" si="7"/>
        <v>1</v>
      </c>
    </row>
    <row r="36" spans="1:16" s="121" customFormat="1" ht="27" customHeight="1" x14ac:dyDescent="0.25">
      <c r="A36" s="78"/>
      <c r="B36" s="132"/>
      <c r="C36" s="791"/>
      <c r="D36" s="426">
        <v>45070</v>
      </c>
      <c r="E36" s="365" t="s">
        <v>50</v>
      </c>
      <c r="F36" s="93"/>
      <c r="G36" s="426">
        <v>44950</v>
      </c>
      <c r="H36" s="134"/>
      <c r="I36" s="468" t="s">
        <v>206</v>
      </c>
      <c r="J36" s="336" t="s">
        <v>203</v>
      </c>
      <c r="K36" s="513">
        <v>2</v>
      </c>
      <c r="L36" s="135"/>
      <c r="M36" s="87">
        <f t="shared" si="6"/>
        <v>2</v>
      </c>
      <c r="N36" s="130">
        <v>2</v>
      </c>
      <c r="O36" s="135"/>
      <c r="P36" s="137">
        <f t="shared" si="7"/>
        <v>0</v>
      </c>
    </row>
    <row r="37" spans="1:16" s="121" customFormat="1" ht="27" customHeight="1" x14ac:dyDescent="0.25">
      <c r="A37" s="78"/>
      <c r="B37" s="132"/>
      <c r="C37" s="791"/>
      <c r="D37" s="426">
        <v>45070</v>
      </c>
      <c r="E37" s="365" t="s">
        <v>50</v>
      </c>
      <c r="F37" s="93"/>
      <c r="G37" s="426">
        <v>44950</v>
      </c>
      <c r="H37" s="134"/>
      <c r="I37" s="468" t="s">
        <v>207</v>
      </c>
      <c r="J37" s="336" t="s">
        <v>204</v>
      </c>
      <c r="K37" s="513">
        <v>1</v>
      </c>
      <c r="L37" s="135"/>
      <c r="M37" s="87">
        <f t="shared" si="6"/>
        <v>1</v>
      </c>
      <c r="N37" s="130">
        <v>1</v>
      </c>
      <c r="O37" s="135"/>
      <c r="P37" s="137">
        <f t="shared" si="7"/>
        <v>0</v>
      </c>
    </row>
    <row r="38" spans="1:16" s="121" customFormat="1" ht="39.75" customHeight="1" x14ac:dyDescent="0.25">
      <c r="A38" s="78"/>
      <c r="B38" s="132"/>
      <c r="C38" s="546" t="s">
        <v>460</v>
      </c>
      <c r="D38" s="426">
        <v>45040</v>
      </c>
      <c r="E38" s="365" t="s">
        <v>50</v>
      </c>
      <c r="F38" s="93"/>
      <c r="G38" s="426">
        <v>44956</v>
      </c>
      <c r="H38" s="134"/>
      <c r="I38" s="468" t="s">
        <v>210</v>
      </c>
      <c r="J38" s="336" t="s">
        <v>150</v>
      </c>
      <c r="K38" s="513">
        <v>2</v>
      </c>
      <c r="L38" s="135"/>
      <c r="M38" s="87">
        <f t="shared" si="6"/>
        <v>2</v>
      </c>
      <c r="N38" s="130"/>
      <c r="O38" s="135"/>
      <c r="P38" s="137">
        <f t="shared" si="7"/>
        <v>2</v>
      </c>
    </row>
    <row r="39" spans="1:16" s="121" customFormat="1" ht="31.5" customHeight="1" x14ac:dyDescent="0.25">
      <c r="A39" s="78"/>
      <c r="B39" s="132"/>
      <c r="C39" s="790" t="s">
        <v>296</v>
      </c>
      <c r="D39" s="426">
        <v>45213</v>
      </c>
      <c r="E39" s="365" t="s">
        <v>50</v>
      </c>
      <c r="F39" s="93"/>
      <c r="G39" s="426">
        <v>45091</v>
      </c>
      <c r="H39" s="134"/>
      <c r="I39" s="468" t="s">
        <v>298</v>
      </c>
      <c r="J39" s="336" t="s">
        <v>294</v>
      </c>
      <c r="K39" s="513">
        <v>1</v>
      </c>
      <c r="L39" s="135"/>
      <c r="M39" s="87">
        <f t="shared" si="6"/>
        <v>1</v>
      </c>
      <c r="N39" s="130"/>
      <c r="O39" s="135"/>
      <c r="P39" s="137">
        <f t="shared" si="7"/>
        <v>1</v>
      </c>
    </row>
    <row r="40" spans="1:16" s="121" customFormat="1" ht="31.5" customHeight="1" x14ac:dyDescent="0.25">
      <c r="A40" s="78"/>
      <c r="B40" s="132"/>
      <c r="C40" s="792"/>
      <c r="D40" s="426">
        <v>45213</v>
      </c>
      <c r="E40" s="365" t="s">
        <v>50</v>
      </c>
      <c r="F40" s="93"/>
      <c r="G40" s="426">
        <v>45091</v>
      </c>
      <c r="H40" s="134"/>
      <c r="I40" s="468" t="s">
        <v>299</v>
      </c>
      <c r="J40" s="336" t="s">
        <v>151</v>
      </c>
      <c r="K40" s="513">
        <v>1</v>
      </c>
      <c r="L40" s="135"/>
      <c r="M40" s="87">
        <f t="shared" si="6"/>
        <v>1</v>
      </c>
      <c r="N40" s="130"/>
      <c r="O40" s="135"/>
      <c r="P40" s="137">
        <f t="shared" si="7"/>
        <v>1</v>
      </c>
    </row>
    <row r="41" spans="1:16" s="121" customFormat="1" ht="36.75" customHeight="1" x14ac:dyDescent="0.25">
      <c r="A41" s="78"/>
      <c r="B41" s="132"/>
      <c r="C41" s="489" t="s">
        <v>297</v>
      </c>
      <c r="D41" s="426">
        <v>45244</v>
      </c>
      <c r="E41" s="365" t="s">
        <v>50</v>
      </c>
      <c r="F41" s="93"/>
      <c r="G41" s="426">
        <v>45091</v>
      </c>
      <c r="H41" s="134"/>
      <c r="I41" s="468" t="s">
        <v>300</v>
      </c>
      <c r="J41" s="336" t="s">
        <v>295</v>
      </c>
      <c r="K41" s="513">
        <v>1</v>
      </c>
      <c r="L41" s="135"/>
      <c r="M41" s="87">
        <f t="shared" si="6"/>
        <v>1</v>
      </c>
      <c r="N41" s="130"/>
      <c r="O41" s="135"/>
      <c r="P41" s="137">
        <f t="shared" si="7"/>
        <v>1</v>
      </c>
    </row>
    <row r="42" spans="1:16" s="121" customFormat="1" ht="36.75" customHeight="1" x14ac:dyDescent="0.25">
      <c r="A42" s="78"/>
      <c r="B42" s="132"/>
      <c r="C42" s="489" t="s">
        <v>307</v>
      </c>
      <c r="D42" s="426">
        <v>45222</v>
      </c>
      <c r="E42" s="365" t="s">
        <v>50</v>
      </c>
      <c r="F42" s="93"/>
      <c r="G42" s="426">
        <v>45100</v>
      </c>
      <c r="H42" s="134"/>
      <c r="I42" s="468" t="s">
        <v>384</v>
      </c>
      <c r="J42" s="336" t="s">
        <v>308</v>
      </c>
      <c r="K42" s="513">
        <v>1</v>
      </c>
      <c r="L42" s="135"/>
      <c r="M42" s="87">
        <f t="shared" si="6"/>
        <v>1</v>
      </c>
      <c r="N42" s="130">
        <v>1</v>
      </c>
      <c r="O42" s="135"/>
      <c r="P42" s="137">
        <f t="shared" si="7"/>
        <v>0</v>
      </c>
    </row>
    <row r="43" spans="1:16" s="121" customFormat="1" ht="36.75" customHeight="1" x14ac:dyDescent="0.25">
      <c r="A43" s="78"/>
      <c r="B43" s="132"/>
      <c r="C43" s="790" t="s">
        <v>415</v>
      </c>
      <c r="D43" s="426">
        <v>44936</v>
      </c>
      <c r="E43" s="365" t="s">
        <v>50</v>
      </c>
      <c r="F43" s="93"/>
      <c r="G43" s="426">
        <v>45188</v>
      </c>
      <c r="H43" s="134"/>
      <c r="I43" s="468" t="s">
        <v>417</v>
      </c>
      <c r="J43" s="336" t="s">
        <v>209</v>
      </c>
      <c r="K43" s="513">
        <v>1</v>
      </c>
      <c r="L43" s="135"/>
      <c r="M43" s="87">
        <f t="shared" si="6"/>
        <v>1</v>
      </c>
      <c r="N43" s="130">
        <v>1</v>
      </c>
      <c r="O43" s="135"/>
      <c r="P43" s="137">
        <f t="shared" si="7"/>
        <v>0</v>
      </c>
    </row>
    <row r="44" spans="1:16" s="121" customFormat="1" ht="36.75" customHeight="1" x14ac:dyDescent="0.25">
      <c r="A44" s="78"/>
      <c r="B44" s="132"/>
      <c r="C44" s="792"/>
      <c r="D44" s="426">
        <v>44936</v>
      </c>
      <c r="E44" s="365" t="s">
        <v>50</v>
      </c>
      <c r="F44" s="93"/>
      <c r="G44" s="426">
        <v>45188</v>
      </c>
      <c r="H44" s="134"/>
      <c r="I44" s="468" t="s">
        <v>416</v>
      </c>
      <c r="J44" s="336" t="s">
        <v>145</v>
      </c>
      <c r="K44" s="513">
        <v>2</v>
      </c>
      <c r="L44" s="135"/>
      <c r="M44" s="87">
        <f t="shared" si="6"/>
        <v>2</v>
      </c>
      <c r="N44" s="130"/>
      <c r="O44" s="135"/>
      <c r="P44" s="137">
        <f t="shared" si="7"/>
        <v>2</v>
      </c>
    </row>
    <row r="45" spans="1:16" s="121" customFormat="1" ht="21.75" customHeight="1" x14ac:dyDescent="0.25">
      <c r="A45" s="78"/>
      <c r="B45" s="132"/>
      <c r="C45" s="549" t="s">
        <v>414</v>
      </c>
      <c r="D45" s="426">
        <v>45083</v>
      </c>
      <c r="E45" s="365" t="s">
        <v>50</v>
      </c>
      <c r="F45" s="93"/>
      <c r="G45" s="426">
        <v>45042</v>
      </c>
      <c r="H45" s="134"/>
      <c r="I45" s="468" t="s">
        <v>255</v>
      </c>
      <c r="J45" s="538" t="s">
        <v>226</v>
      </c>
      <c r="K45" s="513">
        <v>30</v>
      </c>
      <c r="L45" s="135"/>
      <c r="M45" s="87">
        <v>10</v>
      </c>
      <c r="N45" s="130"/>
      <c r="O45" s="135"/>
      <c r="P45" s="137">
        <f t="shared" si="7"/>
        <v>10</v>
      </c>
    </row>
    <row r="46" spans="1:16" s="121" customFormat="1" ht="44.25" customHeight="1" x14ac:dyDescent="0.25">
      <c r="A46" s="78"/>
      <c r="B46" s="132"/>
      <c r="C46" s="471" t="s">
        <v>514</v>
      </c>
      <c r="D46" s="351">
        <v>45047</v>
      </c>
      <c r="E46" s="365" t="s">
        <v>50</v>
      </c>
      <c r="F46" s="93"/>
      <c r="G46" s="426">
        <v>45231</v>
      </c>
      <c r="H46" s="134"/>
      <c r="I46" s="468" t="s">
        <v>515</v>
      </c>
      <c r="J46" s="336" t="s">
        <v>209</v>
      </c>
      <c r="K46" s="513">
        <v>2</v>
      </c>
      <c r="L46" s="135"/>
      <c r="M46" s="87">
        <v>2</v>
      </c>
      <c r="N46" s="130">
        <v>2</v>
      </c>
      <c r="O46" s="135"/>
      <c r="P46" s="137">
        <f t="shared" si="7"/>
        <v>0</v>
      </c>
    </row>
    <row r="47" spans="1:16" s="121" customFormat="1" ht="29.25" customHeight="1" x14ac:dyDescent="0.25">
      <c r="A47" s="78"/>
      <c r="B47" s="132"/>
      <c r="C47" s="471" t="s">
        <v>418</v>
      </c>
      <c r="D47" s="351">
        <v>45311</v>
      </c>
      <c r="E47" s="365" t="s">
        <v>50</v>
      </c>
      <c r="F47" s="93"/>
      <c r="G47" s="426">
        <v>45238</v>
      </c>
      <c r="H47" s="134"/>
      <c r="I47" s="468" t="s">
        <v>524</v>
      </c>
      <c r="J47" s="336" t="s">
        <v>525</v>
      </c>
      <c r="K47" s="513">
        <v>2</v>
      </c>
      <c r="L47" s="135"/>
      <c r="M47" s="87">
        <v>2</v>
      </c>
      <c r="N47" s="130"/>
      <c r="O47" s="135"/>
      <c r="P47" s="137">
        <f t="shared" si="7"/>
        <v>2</v>
      </c>
    </row>
    <row r="48" spans="1:16" s="121" customFormat="1" ht="29.25" customHeight="1" x14ac:dyDescent="0.25">
      <c r="A48" s="78"/>
      <c r="B48" s="132"/>
      <c r="C48" s="471" t="s">
        <v>418</v>
      </c>
      <c r="D48" s="351"/>
      <c r="E48" s="365" t="s">
        <v>50</v>
      </c>
      <c r="F48" s="93"/>
      <c r="G48" s="426">
        <v>45254</v>
      </c>
      <c r="H48" s="134"/>
      <c r="I48" s="468" t="s">
        <v>583</v>
      </c>
      <c r="J48" s="336" t="s">
        <v>584</v>
      </c>
      <c r="K48" s="513">
        <v>8</v>
      </c>
      <c r="L48" s="135"/>
      <c r="M48" s="87">
        <f>K48</f>
        <v>8</v>
      </c>
      <c r="N48" s="130">
        <v>1</v>
      </c>
      <c r="O48" s="135"/>
      <c r="P48" s="137">
        <f t="shared" si="7"/>
        <v>7</v>
      </c>
    </row>
    <row r="49" spans="1:16" s="121" customFormat="1" ht="36.75" customHeight="1" x14ac:dyDescent="0.25">
      <c r="A49" s="78"/>
      <c r="B49" s="132"/>
      <c r="C49" s="471" t="s">
        <v>629</v>
      </c>
      <c r="D49" s="351">
        <v>45416</v>
      </c>
      <c r="E49" s="365" t="s">
        <v>50</v>
      </c>
      <c r="F49" s="93"/>
      <c r="G49" s="426">
        <v>45254</v>
      </c>
      <c r="H49" s="134"/>
      <c r="I49" s="468" t="s">
        <v>625</v>
      </c>
      <c r="J49" s="336" t="s">
        <v>626</v>
      </c>
      <c r="K49" s="513">
        <v>1</v>
      </c>
      <c r="L49" s="135"/>
      <c r="M49" s="87">
        <f t="shared" ref="M49:M51" si="8">K49</f>
        <v>1</v>
      </c>
      <c r="N49" s="130"/>
      <c r="O49" s="135"/>
      <c r="P49" s="137">
        <f t="shared" si="7"/>
        <v>1</v>
      </c>
    </row>
    <row r="50" spans="1:16" s="121" customFormat="1" ht="35.25" customHeight="1" x14ac:dyDescent="0.25">
      <c r="A50" s="78"/>
      <c r="B50" s="132"/>
      <c r="C50" s="790" t="s">
        <v>649</v>
      </c>
      <c r="D50" s="351">
        <v>45383</v>
      </c>
      <c r="E50" s="365" t="s">
        <v>50</v>
      </c>
      <c r="F50" s="93"/>
      <c r="G50" s="426">
        <v>45267</v>
      </c>
      <c r="H50" s="134"/>
      <c r="I50" s="468" t="s">
        <v>650</v>
      </c>
      <c r="J50" s="336" t="s">
        <v>125</v>
      </c>
      <c r="K50" s="513">
        <v>1</v>
      </c>
      <c r="L50" s="135"/>
      <c r="M50" s="87">
        <f t="shared" si="8"/>
        <v>1</v>
      </c>
      <c r="N50" s="130"/>
      <c r="O50" s="135"/>
      <c r="P50" s="137">
        <f t="shared" si="7"/>
        <v>1</v>
      </c>
    </row>
    <row r="51" spans="1:16" s="121" customFormat="1" ht="35.25" customHeight="1" x14ac:dyDescent="0.25">
      <c r="A51" s="78"/>
      <c r="B51" s="132"/>
      <c r="C51" s="792"/>
      <c r="D51" s="351">
        <v>45444</v>
      </c>
      <c r="E51" s="365" t="s">
        <v>50</v>
      </c>
      <c r="F51" s="93"/>
      <c r="G51" s="426">
        <v>45267</v>
      </c>
      <c r="H51" s="134"/>
      <c r="I51" s="468" t="s">
        <v>651</v>
      </c>
      <c r="J51" s="336" t="s">
        <v>648</v>
      </c>
      <c r="K51" s="513">
        <v>2</v>
      </c>
      <c r="L51" s="135"/>
      <c r="M51" s="87">
        <f t="shared" si="8"/>
        <v>2</v>
      </c>
      <c r="N51" s="130">
        <v>2</v>
      </c>
      <c r="O51" s="135"/>
      <c r="P51" s="137">
        <f t="shared" si="7"/>
        <v>0</v>
      </c>
    </row>
    <row r="52" spans="1:16" s="121" customFormat="1" ht="35.25" customHeight="1" x14ac:dyDescent="0.25">
      <c r="A52" s="78"/>
      <c r="B52" s="132"/>
      <c r="C52" s="790" t="s">
        <v>713</v>
      </c>
      <c r="D52" s="351">
        <v>45422</v>
      </c>
      <c r="E52" s="365" t="s">
        <v>50</v>
      </c>
      <c r="F52" s="93"/>
      <c r="G52" s="426">
        <v>45306</v>
      </c>
      <c r="H52" s="134"/>
      <c r="I52" s="468" t="s">
        <v>714</v>
      </c>
      <c r="J52" s="336" t="s">
        <v>715</v>
      </c>
      <c r="K52" s="513">
        <v>5</v>
      </c>
      <c r="L52" s="135"/>
      <c r="M52" s="87">
        <f t="shared" ref="M52:M53" si="9">K52</f>
        <v>5</v>
      </c>
      <c r="N52" s="130"/>
      <c r="O52" s="135"/>
      <c r="P52" s="137">
        <f t="shared" ref="P52:P53" si="10">M52-N52</f>
        <v>5</v>
      </c>
    </row>
    <row r="53" spans="1:16" s="121" customFormat="1" ht="35.25" customHeight="1" x14ac:dyDescent="0.25">
      <c r="A53" s="78"/>
      <c r="B53" s="132"/>
      <c r="C53" s="791"/>
      <c r="D53" s="351">
        <v>45422</v>
      </c>
      <c r="E53" s="365" t="s">
        <v>50</v>
      </c>
      <c r="F53" s="93"/>
      <c r="G53" s="426">
        <v>45306</v>
      </c>
      <c r="H53" s="134"/>
      <c r="I53" s="468" t="s">
        <v>716</v>
      </c>
      <c r="J53" s="336" t="s">
        <v>717</v>
      </c>
      <c r="K53" s="513">
        <v>15</v>
      </c>
      <c r="L53" s="135"/>
      <c r="M53" s="87">
        <f t="shared" si="9"/>
        <v>15</v>
      </c>
      <c r="N53" s="130"/>
      <c r="O53" s="135"/>
      <c r="P53" s="137">
        <f t="shared" si="10"/>
        <v>15</v>
      </c>
    </row>
    <row r="54" spans="1:16" s="121" customFormat="1" ht="31.5" customHeight="1" x14ac:dyDescent="0.25">
      <c r="A54" s="78"/>
      <c r="B54" s="132"/>
      <c r="C54" s="556"/>
      <c r="D54" s="614">
        <v>45083</v>
      </c>
      <c r="E54" s="615" t="s">
        <v>50</v>
      </c>
      <c r="F54" s="616"/>
      <c r="G54" s="614">
        <v>45042</v>
      </c>
      <c r="H54" s="586"/>
      <c r="I54" s="529" t="s">
        <v>256</v>
      </c>
      <c r="J54" s="481" t="s">
        <v>243</v>
      </c>
      <c r="K54" s="617">
        <v>20</v>
      </c>
      <c r="L54" s="587"/>
      <c r="M54" s="530">
        <f t="shared" si="6"/>
        <v>20</v>
      </c>
      <c r="N54" s="618">
        <v>20</v>
      </c>
      <c r="O54" s="587"/>
      <c r="P54" s="531">
        <f t="shared" si="7"/>
        <v>0</v>
      </c>
    </row>
    <row r="55" spans="1:16" s="121" customFormat="1" ht="31.5" customHeight="1" x14ac:dyDescent="0.25">
      <c r="A55" s="78"/>
      <c r="B55" s="132"/>
      <c r="C55" s="556"/>
      <c r="D55" s="426">
        <v>45083</v>
      </c>
      <c r="E55" s="365" t="s">
        <v>50</v>
      </c>
      <c r="F55" s="93"/>
      <c r="G55" s="426">
        <v>45042</v>
      </c>
      <c r="H55" s="134"/>
      <c r="I55" s="468" t="s">
        <v>257</v>
      </c>
      <c r="J55" s="336" t="s">
        <v>244</v>
      </c>
      <c r="K55" s="513">
        <v>5</v>
      </c>
      <c r="L55" s="135"/>
      <c r="M55" s="87">
        <f t="shared" si="6"/>
        <v>5</v>
      </c>
      <c r="N55" s="130"/>
      <c r="O55" s="135"/>
      <c r="P55" s="137">
        <f t="shared" si="7"/>
        <v>5</v>
      </c>
    </row>
    <row r="56" spans="1:16" s="121" customFormat="1" ht="31.5" customHeight="1" x14ac:dyDescent="0.25">
      <c r="A56" s="78"/>
      <c r="B56" s="132"/>
      <c r="C56" s="556"/>
      <c r="D56" s="426">
        <v>45083</v>
      </c>
      <c r="E56" s="365" t="s">
        <v>50</v>
      </c>
      <c r="F56" s="93"/>
      <c r="G56" s="426">
        <v>45042</v>
      </c>
      <c r="H56" s="134"/>
      <c r="I56" s="468" t="s">
        <v>258</v>
      </c>
      <c r="J56" s="336" t="s">
        <v>245</v>
      </c>
      <c r="K56" s="513">
        <v>5</v>
      </c>
      <c r="L56" s="135"/>
      <c r="M56" s="87">
        <f t="shared" si="6"/>
        <v>5</v>
      </c>
      <c r="N56" s="130"/>
      <c r="O56" s="135"/>
      <c r="P56" s="137">
        <f t="shared" si="7"/>
        <v>5</v>
      </c>
    </row>
    <row r="57" spans="1:16" s="121" customFormat="1" ht="31.5" customHeight="1" x14ac:dyDescent="0.25">
      <c r="A57" s="78"/>
      <c r="B57" s="132"/>
      <c r="C57" s="556"/>
      <c r="D57" s="426">
        <v>45083</v>
      </c>
      <c r="E57" s="365" t="s">
        <v>50</v>
      </c>
      <c r="F57" s="93"/>
      <c r="G57" s="426">
        <v>45042</v>
      </c>
      <c r="H57" s="134"/>
      <c r="I57" s="468" t="s">
        <v>259</v>
      </c>
      <c r="J57" s="336" t="s">
        <v>246</v>
      </c>
      <c r="K57" s="513">
        <v>5</v>
      </c>
      <c r="L57" s="135"/>
      <c r="M57" s="87">
        <f t="shared" si="6"/>
        <v>5</v>
      </c>
      <c r="N57" s="130"/>
      <c r="O57" s="135"/>
      <c r="P57" s="137">
        <f t="shared" si="7"/>
        <v>5</v>
      </c>
    </row>
    <row r="58" spans="1:16" s="121" customFormat="1" ht="31.5" customHeight="1" x14ac:dyDescent="0.25">
      <c r="A58" s="78"/>
      <c r="B58" s="132"/>
      <c r="C58" s="556"/>
      <c r="D58" s="426">
        <v>45083</v>
      </c>
      <c r="E58" s="365" t="s">
        <v>50</v>
      </c>
      <c r="F58" s="93"/>
      <c r="G58" s="426">
        <v>45042</v>
      </c>
      <c r="H58" s="134"/>
      <c r="I58" s="468" t="s">
        <v>260</v>
      </c>
      <c r="J58" s="336" t="s">
        <v>247</v>
      </c>
      <c r="K58" s="513">
        <v>20</v>
      </c>
      <c r="L58" s="135"/>
      <c r="M58" s="87">
        <f t="shared" si="6"/>
        <v>20</v>
      </c>
      <c r="N58" s="130"/>
      <c r="O58" s="135"/>
      <c r="P58" s="137">
        <f t="shared" si="7"/>
        <v>20</v>
      </c>
    </row>
    <row r="59" spans="1:16" s="121" customFormat="1" ht="31.5" customHeight="1" x14ac:dyDescent="0.25">
      <c r="A59" s="78"/>
      <c r="B59" s="132"/>
      <c r="C59" s="556"/>
      <c r="D59" s="426">
        <v>45083</v>
      </c>
      <c r="E59" s="365" t="s">
        <v>50</v>
      </c>
      <c r="F59" s="93"/>
      <c r="G59" s="426">
        <v>45042</v>
      </c>
      <c r="H59" s="134"/>
      <c r="I59" s="468" t="s">
        <v>261</v>
      </c>
      <c r="J59" s="336" t="s">
        <v>248</v>
      </c>
      <c r="K59" s="513">
        <v>50</v>
      </c>
      <c r="L59" s="135"/>
      <c r="M59" s="87">
        <f t="shared" si="6"/>
        <v>50</v>
      </c>
      <c r="N59" s="130"/>
      <c r="O59" s="135"/>
      <c r="P59" s="137">
        <f t="shared" si="7"/>
        <v>50</v>
      </c>
    </row>
    <row r="60" spans="1:16" s="121" customFormat="1" ht="27" customHeight="1" x14ac:dyDescent="0.25">
      <c r="A60" s="78"/>
      <c r="B60" s="132"/>
      <c r="C60" s="556"/>
      <c r="D60" s="614">
        <v>45083</v>
      </c>
      <c r="E60" s="615" t="s">
        <v>50</v>
      </c>
      <c r="F60" s="616"/>
      <c r="G60" s="614">
        <v>45042</v>
      </c>
      <c r="H60" s="586"/>
      <c r="I60" s="529" t="s">
        <v>262</v>
      </c>
      <c r="J60" s="481" t="s">
        <v>249</v>
      </c>
      <c r="K60" s="617">
        <v>25</v>
      </c>
      <c r="L60" s="587"/>
      <c r="M60" s="530">
        <f t="shared" si="6"/>
        <v>25</v>
      </c>
      <c r="N60" s="618"/>
      <c r="O60" s="587"/>
      <c r="P60" s="531">
        <f t="shared" si="7"/>
        <v>25</v>
      </c>
    </row>
    <row r="61" spans="1:16" s="121" customFormat="1" ht="33" customHeight="1" x14ac:dyDescent="0.25">
      <c r="A61" s="78"/>
      <c r="B61" s="132"/>
      <c r="C61" s="556"/>
      <c r="D61" s="614">
        <v>45083</v>
      </c>
      <c r="E61" s="615" t="s">
        <v>50</v>
      </c>
      <c r="F61" s="616"/>
      <c r="G61" s="614">
        <v>45042</v>
      </c>
      <c r="H61" s="586"/>
      <c r="I61" s="529" t="s">
        <v>263</v>
      </c>
      <c r="J61" s="481" t="s">
        <v>250</v>
      </c>
      <c r="K61" s="617">
        <v>10</v>
      </c>
      <c r="L61" s="587"/>
      <c r="M61" s="530">
        <f t="shared" si="6"/>
        <v>10</v>
      </c>
      <c r="N61" s="618"/>
      <c r="O61" s="587"/>
      <c r="P61" s="531">
        <f t="shared" si="7"/>
        <v>10</v>
      </c>
    </row>
    <row r="62" spans="1:16" s="121" customFormat="1" ht="33" customHeight="1" x14ac:dyDescent="0.25">
      <c r="A62" s="78"/>
      <c r="B62" s="132"/>
      <c r="C62" s="556"/>
      <c r="D62" s="426">
        <v>45083</v>
      </c>
      <c r="E62" s="365" t="s">
        <v>50</v>
      </c>
      <c r="F62" s="93"/>
      <c r="G62" s="426">
        <v>45042</v>
      </c>
      <c r="H62" s="134"/>
      <c r="I62" s="468" t="s">
        <v>264</v>
      </c>
      <c r="J62" s="336" t="s">
        <v>251</v>
      </c>
      <c r="K62" s="513">
        <v>2</v>
      </c>
      <c r="L62" s="135"/>
      <c r="M62" s="87">
        <f t="shared" si="6"/>
        <v>2</v>
      </c>
      <c r="N62" s="130"/>
      <c r="O62" s="135"/>
      <c r="P62" s="137">
        <f t="shared" si="7"/>
        <v>2</v>
      </c>
    </row>
    <row r="63" spans="1:16" s="121" customFormat="1" ht="33" customHeight="1" x14ac:dyDescent="0.25">
      <c r="A63" s="78"/>
      <c r="B63" s="132"/>
      <c r="C63" s="556"/>
      <c r="D63" s="426">
        <v>45083</v>
      </c>
      <c r="E63" s="365" t="s">
        <v>50</v>
      </c>
      <c r="F63" s="93"/>
      <c r="G63" s="426">
        <v>45042</v>
      </c>
      <c r="H63" s="134"/>
      <c r="I63" s="468" t="s">
        <v>265</v>
      </c>
      <c r="J63" s="336" t="s">
        <v>252</v>
      </c>
      <c r="K63" s="513">
        <v>2</v>
      </c>
      <c r="L63" s="135"/>
      <c r="M63" s="87">
        <f t="shared" si="6"/>
        <v>2</v>
      </c>
      <c r="N63" s="130"/>
      <c r="O63" s="135"/>
      <c r="P63" s="137">
        <f t="shared" si="7"/>
        <v>2</v>
      </c>
    </row>
    <row r="64" spans="1:16" s="121" customFormat="1" ht="33" customHeight="1" x14ac:dyDescent="0.25">
      <c r="A64" s="78"/>
      <c r="B64" s="132"/>
      <c r="C64" s="556"/>
      <c r="D64" s="426">
        <v>45083</v>
      </c>
      <c r="E64" s="365" t="s">
        <v>50</v>
      </c>
      <c r="F64" s="93"/>
      <c r="G64" s="426">
        <v>45042</v>
      </c>
      <c r="H64" s="134"/>
      <c r="I64" s="468" t="s">
        <v>266</v>
      </c>
      <c r="J64" s="336" t="s">
        <v>253</v>
      </c>
      <c r="K64" s="513">
        <v>2</v>
      </c>
      <c r="L64" s="135"/>
      <c r="M64" s="87">
        <f t="shared" si="6"/>
        <v>2</v>
      </c>
      <c r="N64" s="130"/>
      <c r="O64" s="135"/>
      <c r="P64" s="137">
        <f t="shared" si="7"/>
        <v>2</v>
      </c>
    </row>
    <row r="65" spans="1:16" s="121" customFormat="1" ht="33" customHeight="1" x14ac:dyDescent="0.25">
      <c r="A65" s="78"/>
      <c r="B65" s="132"/>
      <c r="C65" s="557"/>
      <c r="D65" s="426">
        <v>45083</v>
      </c>
      <c r="E65" s="365" t="s">
        <v>50</v>
      </c>
      <c r="F65" s="93"/>
      <c r="G65" s="426">
        <v>45042</v>
      </c>
      <c r="H65" s="134"/>
      <c r="I65" s="468" t="s">
        <v>267</v>
      </c>
      <c r="J65" s="336" t="s">
        <v>254</v>
      </c>
      <c r="K65" s="513">
        <v>2</v>
      </c>
      <c r="L65" s="135"/>
      <c r="M65" s="87">
        <f t="shared" si="6"/>
        <v>2</v>
      </c>
      <c r="N65" s="130"/>
      <c r="O65" s="135"/>
      <c r="P65" s="137">
        <f t="shared" si="7"/>
        <v>2</v>
      </c>
    </row>
    <row r="66" spans="1:16" s="121" customFormat="1" ht="33" customHeight="1" x14ac:dyDescent="0.25">
      <c r="A66" s="78"/>
      <c r="B66" s="132"/>
      <c r="C66" s="489"/>
      <c r="D66" s="426">
        <v>45232</v>
      </c>
      <c r="E66" s="365" t="s">
        <v>50</v>
      </c>
      <c r="F66" s="93"/>
      <c r="G66" s="426">
        <v>45042</v>
      </c>
      <c r="H66" s="134"/>
      <c r="I66" s="468" t="s">
        <v>268</v>
      </c>
      <c r="J66" s="336" t="s">
        <v>142</v>
      </c>
      <c r="K66" s="513">
        <v>1</v>
      </c>
      <c r="L66" s="135"/>
      <c r="M66" s="87">
        <f t="shared" si="6"/>
        <v>1</v>
      </c>
      <c r="N66" s="130">
        <v>1</v>
      </c>
      <c r="O66" s="135"/>
      <c r="P66" s="137">
        <f t="shared" si="7"/>
        <v>0</v>
      </c>
    </row>
    <row r="67" spans="1:16" s="9" customFormat="1" ht="27.75" customHeight="1" x14ac:dyDescent="0.25">
      <c r="A67" s="97"/>
      <c r="B67" s="330" t="s">
        <v>43</v>
      </c>
      <c r="C67" s="96"/>
      <c r="D67" s="98"/>
      <c r="E67" s="99"/>
      <c r="F67" s="100"/>
      <c r="G67" s="101"/>
      <c r="H67" s="102"/>
      <c r="I67" s="103"/>
      <c r="J67" s="105"/>
      <c r="K67" s="106"/>
      <c r="L67" s="111"/>
      <c r="M67" s="112"/>
      <c r="N67" s="113"/>
      <c r="O67" s="111"/>
      <c r="P67" s="112"/>
    </row>
    <row r="68" spans="1:16" s="1" customFormat="1" ht="35.25" customHeight="1" x14ac:dyDescent="0.25">
      <c r="A68" s="333"/>
      <c r="B68" s="377"/>
      <c r="C68" s="532" t="s">
        <v>242</v>
      </c>
      <c r="D68" s="436">
        <v>45090</v>
      </c>
      <c r="E68" s="365" t="s">
        <v>50</v>
      </c>
      <c r="F68" s="503"/>
      <c r="G68" s="437">
        <v>45028</v>
      </c>
      <c r="H68" s="421"/>
      <c r="I68" s="468" t="s">
        <v>236</v>
      </c>
      <c r="J68" s="447" t="s">
        <v>235</v>
      </c>
      <c r="K68" s="453">
        <v>1</v>
      </c>
      <c r="L68" s="420"/>
      <c r="M68" s="87">
        <f t="shared" ref="M68:M76" si="11">K68</f>
        <v>1</v>
      </c>
      <c r="N68" s="449"/>
      <c r="O68" s="142"/>
      <c r="P68" s="137">
        <f t="shared" ref="P68" si="12">K68-N68</f>
        <v>1</v>
      </c>
    </row>
    <row r="69" spans="1:16" s="1" customFormat="1" ht="35.25" customHeight="1" x14ac:dyDescent="0.25">
      <c r="A69" s="333"/>
      <c r="B69" s="377"/>
      <c r="C69" s="532" t="s">
        <v>279</v>
      </c>
      <c r="D69" s="436">
        <v>45137</v>
      </c>
      <c r="E69" s="365" t="s">
        <v>50</v>
      </c>
      <c r="F69" s="503"/>
      <c r="G69" s="437">
        <v>45082</v>
      </c>
      <c r="H69" s="421"/>
      <c r="I69" s="468" t="s">
        <v>280</v>
      </c>
      <c r="J69" s="447" t="s">
        <v>281</v>
      </c>
      <c r="K69" s="453">
        <v>1</v>
      </c>
      <c r="L69" s="420"/>
      <c r="M69" s="87">
        <f t="shared" si="11"/>
        <v>1</v>
      </c>
      <c r="N69" s="449"/>
      <c r="O69" s="142"/>
      <c r="P69" s="137">
        <f>M69-N69</f>
        <v>1</v>
      </c>
    </row>
    <row r="70" spans="1:16" s="1" customFormat="1" ht="35.25" customHeight="1" x14ac:dyDescent="0.25">
      <c r="A70" s="333"/>
      <c r="B70" s="377"/>
      <c r="C70" s="797"/>
      <c r="D70" s="436">
        <v>45244</v>
      </c>
      <c r="E70" s="365" t="s">
        <v>60</v>
      </c>
      <c r="F70" s="503"/>
      <c r="G70" s="437">
        <v>45156</v>
      </c>
      <c r="H70" s="421"/>
      <c r="I70" s="468" t="s">
        <v>368</v>
      </c>
      <c r="J70" s="447" t="s">
        <v>365</v>
      </c>
      <c r="K70" s="453">
        <v>2</v>
      </c>
      <c r="L70" s="420"/>
      <c r="M70" s="87">
        <f t="shared" si="11"/>
        <v>2</v>
      </c>
      <c r="N70" s="449"/>
      <c r="O70" s="142"/>
      <c r="P70" s="137">
        <f t="shared" ref="P70:P75" si="13">M70-N70</f>
        <v>2</v>
      </c>
    </row>
    <row r="71" spans="1:16" s="1" customFormat="1" ht="35.25" customHeight="1" x14ac:dyDescent="0.25">
      <c r="A71" s="333"/>
      <c r="B71" s="377"/>
      <c r="C71" s="797"/>
      <c r="D71" s="436">
        <v>45244</v>
      </c>
      <c r="E71" s="365" t="s">
        <v>60</v>
      </c>
      <c r="F71" s="503"/>
      <c r="G71" s="437">
        <v>45156</v>
      </c>
      <c r="H71" s="421"/>
      <c r="I71" s="468" t="s">
        <v>369</v>
      </c>
      <c r="J71" s="447" t="s">
        <v>366</v>
      </c>
      <c r="K71" s="453">
        <v>1</v>
      </c>
      <c r="L71" s="420"/>
      <c r="M71" s="87">
        <f t="shared" si="11"/>
        <v>1</v>
      </c>
      <c r="N71" s="449"/>
      <c r="O71" s="142"/>
      <c r="P71" s="137">
        <f t="shared" si="13"/>
        <v>1</v>
      </c>
    </row>
    <row r="72" spans="1:16" s="1" customFormat="1" ht="35.25" customHeight="1" x14ac:dyDescent="0.25">
      <c r="A72" s="333"/>
      <c r="B72" s="377"/>
      <c r="C72" s="797"/>
      <c r="D72" s="436">
        <v>45244</v>
      </c>
      <c r="E72" s="365" t="s">
        <v>60</v>
      </c>
      <c r="F72" s="503"/>
      <c r="G72" s="437">
        <v>45156</v>
      </c>
      <c r="H72" s="421"/>
      <c r="I72" s="468" t="s">
        <v>370</v>
      </c>
      <c r="J72" s="447" t="s">
        <v>367</v>
      </c>
      <c r="K72" s="453">
        <v>1</v>
      </c>
      <c r="L72" s="420"/>
      <c r="M72" s="87">
        <f t="shared" si="11"/>
        <v>1</v>
      </c>
      <c r="N72" s="449"/>
      <c r="O72" s="142"/>
      <c r="P72" s="137">
        <f t="shared" si="13"/>
        <v>1</v>
      </c>
    </row>
    <row r="73" spans="1:16" s="1" customFormat="1" ht="35.25" customHeight="1" x14ac:dyDescent="0.25">
      <c r="A73" s="333"/>
      <c r="B73" s="377"/>
      <c r="C73" s="798"/>
      <c r="D73" s="436">
        <v>45244</v>
      </c>
      <c r="E73" s="365" t="s">
        <v>60</v>
      </c>
      <c r="F73" s="503"/>
      <c r="G73" s="437">
        <v>45156</v>
      </c>
      <c r="H73" s="421"/>
      <c r="I73" s="468" t="s">
        <v>371</v>
      </c>
      <c r="J73" s="335" t="s">
        <v>208</v>
      </c>
      <c r="K73" s="453">
        <v>30</v>
      </c>
      <c r="L73" s="420"/>
      <c r="M73" s="87">
        <f t="shared" si="11"/>
        <v>30</v>
      </c>
      <c r="N73" s="449"/>
      <c r="O73" s="142"/>
      <c r="P73" s="137">
        <f t="shared" si="13"/>
        <v>30</v>
      </c>
    </row>
    <row r="74" spans="1:16" s="1" customFormat="1" ht="35.25" customHeight="1" x14ac:dyDescent="0.25">
      <c r="A74" s="333"/>
      <c r="B74" s="377"/>
      <c r="C74" s="532" t="s">
        <v>482</v>
      </c>
      <c r="D74" s="436">
        <v>45270</v>
      </c>
      <c r="E74" s="365" t="s">
        <v>60</v>
      </c>
      <c r="F74" s="503"/>
      <c r="G74" s="437">
        <v>45210</v>
      </c>
      <c r="H74" s="421"/>
      <c r="I74" s="468" t="s">
        <v>481</v>
      </c>
      <c r="J74" s="447" t="s">
        <v>480</v>
      </c>
      <c r="K74" s="453">
        <v>12</v>
      </c>
      <c r="L74" s="420"/>
      <c r="M74" s="87">
        <v>1</v>
      </c>
      <c r="N74" s="449">
        <v>1</v>
      </c>
      <c r="O74" s="142"/>
      <c r="P74" s="137">
        <f t="shared" si="13"/>
        <v>0</v>
      </c>
    </row>
    <row r="75" spans="1:16" s="1" customFormat="1" ht="35.25" customHeight="1" x14ac:dyDescent="0.25">
      <c r="A75" s="333"/>
      <c r="B75" s="377"/>
      <c r="C75" s="532" t="s">
        <v>490</v>
      </c>
      <c r="D75" s="436">
        <v>45301</v>
      </c>
      <c r="E75" s="365" t="s">
        <v>60</v>
      </c>
      <c r="F75" s="503"/>
      <c r="G75" s="437">
        <v>45210</v>
      </c>
      <c r="H75" s="421"/>
      <c r="I75" s="468" t="s">
        <v>492</v>
      </c>
      <c r="J75" s="447" t="s">
        <v>491</v>
      </c>
      <c r="K75" s="453">
        <v>2</v>
      </c>
      <c r="L75" s="420"/>
      <c r="M75" s="87">
        <f t="shared" si="11"/>
        <v>2</v>
      </c>
      <c r="N75" s="449"/>
      <c r="O75" s="142"/>
      <c r="P75" s="137">
        <f t="shared" si="13"/>
        <v>2</v>
      </c>
    </row>
    <row r="76" spans="1:16" s="1" customFormat="1" ht="32.25" customHeight="1" x14ac:dyDescent="0.25">
      <c r="A76" s="333"/>
      <c r="B76" s="377"/>
      <c r="C76" s="488"/>
      <c r="D76" s="436"/>
      <c r="E76" s="365"/>
      <c r="F76" s="503"/>
      <c r="G76" s="437"/>
      <c r="H76" s="421"/>
      <c r="I76" s="468" t="s">
        <v>382</v>
      </c>
      <c r="J76" s="447" t="s">
        <v>228</v>
      </c>
      <c r="K76" s="453">
        <v>15</v>
      </c>
      <c r="L76" s="420"/>
      <c r="M76" s="87">
        <f t="shared" si="11"/>
        <v>15</v>
      </c>
      <c r="N76" s="449"/>
      <c r="O76" s="142"/>
      <c r="P76" s="137">
        <f>M76-N76</f>
        <v>15</v>
      </c>
    </row>
    <row r="77" spans="1:16" s="1" customFormat="1" ht="16.5" customHeight="1" x14ac:dyDescent="0.25">
      <c r="A77" s="474"/>
      <c r="B77" s="462" t="s">
        <v>111</v>
      </c>
      <c r="C77" s="330"/>
      <c r="D77" s="486"/>
      <c r="E77" s="475"/>
      <c r="F77" s="476"/>
      <c r="G77" s="477"/>
      <c r="H77" s="463"/>
      <c r="I77" s="478"/>
      <c r="J77" s="479"/>
      <c r="K77" s="480"/>
      <c r="L77" s="464"/>
      <c r="M77" s="54"/>
      <c r="N77" s="55"/>
      <c r="O77" s="464"/>
      <c r="P77" s="465"/>
    </row>
    <row r="78" spans="1:16" s="9" customFormat="1" ht="25.5" customHeight="1" x14ac:dyDescent="0.25">
      <c r="A78" s="78"/>
      <c r="B78" s="527"/>
      <c r="C78" s="595" t="s">
        <v>562</v>
      </c>
      <c r="D78" s="351">
        <v>45209</v>
      </c>
      <c r="E78" s="337" t="s">
        <v>50</v>
      </c>
      <c r="F78" s="380"/>
      <c r="G78" s="351">
        <v>45086</v>
      </c>
      <c r="H78" s="328"/>
      <c r="I78" s="338" t="s">
        <v>289</v>
      </c>
      <c r="J78" s="335" t="s">
        <v>288</v>
      </c>
      <c r="K78" s="453">
        <v>1</v>
      </c>
      <c r="L78" s="329"/>
      <c r="M78" s="87">
        <f t="shared" ref="M78:M81" si="14">K78</f>
        <v>1</v>
      </c>
      <c r="N78" s="449"/>
      <c r="O78" s="142"/>
      <c r="P78" s="137">
        <f t="shared" ref="P78:P81" si="15">M78-N78</f>
        <v>1</v>
      </c>
    </row>
    <row r="79" spans="1:16" s="9" customFormat="1" ht="25.5" customHeight="1" x14ac:dyDescent="0.25">
      <c r="A79" s="78"/>
      <c r="B79" s="527"/>
      <c r="C79" s="596" t="s">
        <v>561</v>
      </c>
      <c r="D79" s="351">
        <v>45026</v>
      </c>
      <c r="E79" s="337" t="s">
        <v>50</v>
      </c>
      <c r="F79" s="380"/>
      <c r="G79" s="351">
        <v>45244</v>
      </c>
      <c r="H79" s="328"/>
      <c r="I79" s="338" t="s">
        <v>559</v>
      </c>
      <c r="J79" s="335" t="s">
        <v>560</v>
      </c>
      <c r="K79" s="453">
        <v>1</v>
      </c>
      <c r="L79" s="329"/>
      <c r="M79" s="87">
        <f t="shared" si="14"/>
        <v>1</v>
      </c>
      <c r="N79" s="449"/>
      <c r="O79" s="142"/>
      <c r="P79" s="137">
        <f t="shared" si="15"/>
        <v>1</v>
      </c>
    </row>
    <row r="80" spans="1:16" s="9" customFormat="1" ht="25.5" customHeight="1" x14ac:dyDescent="0.25">
      <c r="A80" s="78"/>
      <c r="B80" s="527"/>
      <c r="C80" s="598" t="s">
        <v>671</v>
      </c>
      <c r="D80" s="351">
        <v>45407</v>
      </c>
      <c r="E80" s="337" t="s">
        <v>50</v>
      </c>
      <c r="F80" s="380"/>
      <c r="G80" s="351">
        <v>45286</v>
      </c>
      <c r="H80" s="328"/>
      <c r="I80" s="338" t="s">
        <v>672</v>
      </c>
      <c r="J80" s="335" t="s">
        <v>673</v>
      </c>
      <c r="K80" s="453">
        <v>3</v>
      </c>
      <c r="L80" s="329"/>
      <c r="M80" s="87">
        <f t="shared" si="14"/>
        <v>3</v>
      </c>
      <c r="N80" s="449"/>
      <c r="O80" s="142"/>
      <c r="P80" s="137">
        <f t="shared" si="15"/>
        <v>3</v>
      </c>
    </row>
    <row r="81" spans="1:16" s="9" customFormat="1" ht="25.5" customHeight="1" x14ac:dyDescent="0.25">
      <c r="A81" s="78"/>
      <c r="B81" s="527"/>
      <c r="C81" s="598" t="s">
        <v>585</v>
      </c>
      <c r="D81" s="351">
        <v>45285</v>
      </c>
      <c r="E81" s="337" t="s">
        <v>50</v>
      </c>
      <c r="F81" s="380"/>
      <c r="G81" s="351">
        <v>45258</v>
      </c>
      <c r="H81" s="328"/>
      <c r="I81" s="338" t="s">
        <v>586</v>
      </c>
      <c r="J81" s="335" t="s">
        <v>587</v>
      </c>
      <c r="K81" s="453">
        <v>6</v>
      </c>
      <c r="L81" s="329"/>
      <c r="M81" s="87">
        <f t="shared" si="14"/>
        <v>6</v>
      </c>
      <c r="N81" s="449"/>
      <c r="O81" s="142"/>
      <c r="P81" s="137">
        <f t="shared" si="15"/>
        <v>6</v>
      </c>
    </row>
    <row r="82" spans="1:16" s="56" customFormat="1" ht="21.75" customHeight="1" x14ac:dyDescent="0.25">
      <c r="A82" s="41"/>
      <c r="B82" s="516" t="s">
        <v>95</v>
      </c>
      <c r="C82" s="43"/>
      <c r="D82" s="44"/>
      <c r="E82" s="45"/>
      <c r="F82" s="46"/>
      <c r="G82" s="47"/>
      <c r="H82" s="460"/>
      <c r="I82" s="49"/>
      <c r="J82" s="50"/>
      <c r="K82" s="51"/>
      <c r="L82" s="461"/>
      <c r="M82" s="54"/>
      <c r="N82" s="55"/>
      <c r="O82" s="461"/>
      <c r="P82" s="54"/>
    </row>
    <row r="83" spans="1:16" s="9" customFormat="1" ht="25.5" customHeight="1" x14ac:dyDescent="0.25">
      <c r="A83" s="78"/>
      <c r="B83" s="379"/>
      <c r="C83" s="799" t="s">
        <v>360</v>
      </c>
      <c r="D83" s="552">
        <v>45291</v>
      </c>
      <c r="E83" s="365" t="s">
        <v>60</v>
      </c>
      <c r="F83" s="553"/>
      <c r="G83" s="351">
        <v>45141</v>
      </c>
      <c r="H83" s="328"/>
      <c r="I83" s="338" t="s">
        <v>361</v>
      </c>
      <c r="J83" s="335" t="s">
        <v>363</v>
      </c>
      <c r="K83" s="443">
        <v>1</v>
      </c>
      <c r="L83" s="458"/>
      <c r="M83" s="137">
        <f t="shared" ref="M83:M84" si="16">K83</f>
        <v>1</v>
      </c>
      <c r="N83" s="164"/>
      <c r="O83" s="438"/>
      <c r="P83" s="87">
        <f t="shared" ref="P83:P84" si="17">M83-N83</f>
        <v>1</v>
      </c>
    </row>
    <row r="84" spans="1:16" s="9" customFormat="1" ht="25.5" customHeight="1" x14ac:dyDescent="0.25">
      <c r="A84" s="78"/>
      <c r="B84" s="379"/>
      <c r="C84" s="794"/>
      <c r="D84" s="552">
        <v>45291</v>
      </c>
      <c r="E84" s="428" t="s">
        <v>60</v>
      </c>
      <c r="F84" s="553"/>
      <c r="G84" s="351">
        <v>45110</v>
      </c>
      <c r="H84" s="328"/>
      <c r="I84" s="338" t="s">
        <v>362</v>
      </c>
      <c r="J84" s="335" t="s">
        <v>364</v>
      </c>
      <c r="K84" s="443">
        <v>1</v>
      </c>
      <c r="L84" s="458"/>
      <c r="M84" s="137">
        <f t="shared" si="16"/>
        <v>1</v>
      </c>
      <c r="N84" s="164"/>
      <c r="O84" s="438"/>
      <c r="P84" s="87">
        <f t="shared" si="17"/>
        <v>1</v>
      </c>
    </row>
    <row r="85" spans="1:16" s="56" customFormat="1" ht="21" customHeight="1" x14ac:dyDescent="0.25">
      <c r="A85" s="41"/>
      <c r="B85" s="459" t="s">
        <v>588</v>
      </c>
      <c r="C85" s="43"/>
      <c r="D85" s="44"/>
      <c r="E85" s="45"/>
      <c r="F85" s="46"/>
      <c r="G85" s="47"/>
      <c r="H85" s="460"/>
      <c r="I85" s="49"/>
      <c r="J85" s="50"/>
      <c r="K85" s="51"/>
      <c r="L85" s="461"/>
      <c r="M85" s="54"/>
      <c r="N85" s="55"/>
      <c r="O85" s="461"/>
      <c r="P85" s="54"/>
    </row>
    <row r="86" spans="1:16" s="1" customFormat="1" ht="42.75" customHeight="1" x14ac:dyDescent="0.25">
      <c r="A86" s="333"/>
      <c r="B86" s="377"/>
      <c r="C86" s="469" t="s">
        <v>589</v>
      </c>
      <c r="D86" s="436">
        <v>45316</v>
      </c>
      <c r="E86" s="521" t="s">
        <v>50</v>
      </c>
      <c r="F86" s="512"/>
      <c r="G86" s="437">
        <v>45258</v>
      </c>
      <c r="H86" s="421"/>
      <c r="I86" s="338" t="s">
        <v>590</v>
      </c>
      <c r="J86" s="335" t="s">
        <v>219</v>
      </c>
      <c r="K86" s="453">
        <v>1</v>
      </c>
      <c r="L86" s="420"/>
      <c r="M86" s="137">
        <f t="shared" ref="M86" si="18">K86</f>
        <v>1</v>
      </c>
      <c r="N86" s="164"/>
      <c r="O86" s="438"/>
      <c r="P86" s="87">
        <f t="shared" ref="P86" si="19">M86-N86</f>
        <v>1</v>
      </c>
    </row>
    <row r="87" spans="1:16" s="56" customFormat="1" ht="17.25" customHeight="1" x14ac:dyDescent="0.25">
      <c r="A87" s="41"/>
      <c r="B87" s="462" t="s">
        <v>82</v>
      </c>
      <c r="C87" s="43"/>
      <c r="D87" s="44"/>
      <c r="E87" s="45"/>
      <c r="F87" s="46"/>
      <c r="G87" s="47"/>
      <c r="H87" s="48"/>
      <c r="I87" s="49"/>
      <c r="J87" s="50"/>
      <c r="K87" s="51"/>
      <c r="L87" s="53"/>
      <c r="M87" s="54"/>
      <c r="N87" s="55"/>
      <c r="O87" s="53"/>
      <c r="P87" s="54"/>
    </row>
    <row r="88" spans="1:16" s="9" customFormat="1" ht="26.4" x14ac:dyDescent="0.25">
      <c r="A88" s="89"/>
      <c r="B88" s="379"/>
      <c r="C88" s="800" t="s">
        <v>113</v>
      </c>
      <c r="D88" s="519"/>
      <c r="E88" s="428" t="s">
        <v>112</v>
      </c>
      <c r="F88" s="520"/>
      <c r="G88" s="108">
        <v>44755</v>
      </c>
      <c r="H88" s="457"/>
      <c r="I88" s="338" t="s">
        <v>114</v>
      </c>
      <c r="J88" s="335" t="s">
        <v>117</v>
      </c>
      <c r="K88" s="443">
        <v>1</v>
      </c>
      <c r="L88" s="458"/>
      <c r="M88" s="137">
        <f t="shared" ref="M88:M90" si="20">K88</f>
        <v>1</v>
      </c>
      <c r="N88" s="164"/>
      <c r="O88" s="438"/>
      <c r="P88" s="87">
        <f t="shared" ref="P88:P90" si="21">M88-N88</f>
        <v>1</v>
      </c>
    </row>
    <row r="89" spans="1:16" s="9" customFormat="1" ht="26.4" x14ac:dyDescent="0.25">
      <c r="A89" s="89"/>
      <c r="B89" s="379"/>
      <c r="C89" s="800"/>
      <c r="D89" s="473"/>
      <c r="E89" s="428" t="s">
        <v>112</v>
      </c>
      <c r="F89" s="456"/>
      <c r="G89" s="390">
        <v>44755</v>
      </c>
      <c r="H89" s="457"/>
      <c r="I89" s="338" t="s">
        <v>115</v>
      </c>
      <c r="J89" s="335" t="s">
        <v>118</v>
      </c>
      <c r="K89" s="443">
        <v>1</v>
      </c>
      <c r="L89" s="458"/>
      <c r="M89" s="137">
        <f t="shared" si="20"/>
        <v>1</v>
      </c>
      <c r="N89" s="164"/>
      <c r="O89" s="438"/>
      <c r="P89" s="87">
        <f t="shared" si="21"/>
        <v>1</v>
      </c>
    </row>
    <row r="90" spans="1:16" s="9" customFormat="1" ht="30.75" customHeight="1" x14ac:dyDescent="0.25">
      <c r="A90" s="89"/>
      <c r="B90" s="379"/>
      <c r="C90" s="801"/>
      <c r="D90" s="473"/>
      <c r="E90" s="428" t="s">
        <v>112</v>
      </c>
      <c r="F90" s="456"/>
      <c r="G90" s="390">
        <v>44755</v>
      </c>
      <c r="H90" s="457"/>
      <c r="I90" s="338" t="s">
        <v>116</v>
      </c>
      <c r="J90" s="335" t="s">
        <v>119</v>
      </c>
      <c r="K90" s="443">
        <v>1</v>
      </c>
      <c r="L90" s="458"/>
      <c r="M90" s="137">
        <f t="shared" si="20"/>
        <v>1</v>
      </c>
      <c r="N90" s="164"/>
      <c r="O90" s="438"/>
      <c r="P90" s="87">
        <f t="shared" si="21"/>
        <v>1</v>
      </c>
    </row>
    <row r="91" spans="1:16" s="9" customFormat="1" ht="16.5" customHeight="1" x14ac:dyDescent="0.25">
      <c r="A91" s="97"/>
      <c r="B91" s="369" t="s">
        <v>231</v>
      </c>
      <c r="C91" s="96"/>
      <c r="D91" s="98"/>
      <c r="E91" s="99"/>
      <c r="F91" s="100"/>
      <c r="G91" s="101"/>
      <c r="H91" s="102"/>
      <c r="I91" s="103"/>
      <c r="J91" s="105"/>
      <c r="K91" s="106"/>
      <c r="L91" s="53"/>
      <c r="M91" s="54"/>
      <c r="N91" s="55"/>
      <c r="O91" s="53"/>
      <c r="P91" s="54"/>
    </row>
    <row r="92" spans="1:16" s="9" customFormat="1" ht="26.4" x14ac:dyDescent="0.25">
      <c r="A92" s="89"/>
      <c r="B92" s="379"/>
      <c r="C92" s="802" t="s">
        <v>489</v>
      </c>
      <c r="D92" s="473">
        <v>44995</v>
      </c>
      <c r="E92" s="365" t="s">
        <v>60</v>
      </c>
      <c r="F92" s="456"/>
      <c r="G92" s="390">
        <v>45212</v>
      </c>
      <c r="H92" s="457"/>
      <c r="I92" s="338" t="s">
        <v>487</v>
      </c>
      <c r="J92" s="335" t="s">
        <v>485</v>
      </c>
      <c r="K92" s="443">
        <v>2</v>
      </c>
      <c r="L92" s="458"/>
      <c r="M92" s="137">
        <v>2</v>
      </c>
      <c r="N92" s="442"/>
      <c r="O92" s="438"/>
      <c r="P92" s="87">
        <f t="shared" ref="P92:P93" si="22">M92-N92</f>
        <v>2</v>
      </c>
    </row>
    <row r="93" spans="1:16" s="9" customFormat="1" ht="26.4" x14ac:dyDescent="0.25">
      <c r="A93" s="89"/>
      <c r="B93" s="379"/>
      <c r="C93" s="803"/>
      <c r="D93" s="473">
        <v>44995</v>
      </c>
      <c r="E93" s="508" t="s">
        <v>60</v>
      </c>
      <c r="F93" s="456"/>
      <c r="G93" s="390">
        <v>45212</v>
      </c>
      <c r="H93" s="457"/>
      <c r="I93" s="338" t="s">
        <v>488</v>
      </c>
      <c r="J93" s="335" t="s">
        <v>486</v>
      </c>
      <c r="K93" s="443">
        <v>2</v>
      </c>
      <c r="L93" s="458"/>
      <c r="M93" s="137">
        <v>3</v>
      </c>
      <c r="N93" s="442"/>
      <c r="O93" s="438"/>
      <c r="P93" s="87">
        <f t="shared" si="22"/>
        <v>3</v>
      </c>
    </row>
    <row r="94" spans="1:16" s="9" customFormat="1" ht="16.5" customHeight="1" x14ac:dyDescent="0.25">
      <c r="A94" s="97"/>
      <c r="B94" s="330" t="s">
        <v>61</v>
      </c>
      <c r="C94" s="96"/>
      <c r="D94" s="98"/>
      <c r="E94" s="99"/>
      <c r="F94" s="569">
        <f>SUM(F95:F95)</f>
        <v>0</v>
      </c>
      <c r="G94" s="101"/>
      <c r="H94" s="102"/>
      <c r="I94" s="103"/>
      <c r="J94" s="105"/>
      <c r="K94" s="106"/>
      <c r="L94" s="111"/>
      <c r="M94" s="112"/>
      <c r="N94" s="52"/>
      <c r="O94" s="111"/>
      <c r="P94" s="52"/>
    </row>
    <row r="95" spans="1:16" s="1" customFormat="1" ht="41.25" customHeight="1" x14ac:dyDescent="0.25">
      <c r="A95" s="333"/>
      <c r="B95" s="377"/>
      <c r="C95" s="470"/>
      <c r="D95" s="436">
        <v>45280</v>
      </c>
      <c r="E95" s="428" t="s">
        <v>50</v>
      </c>
      <c r="F95" s="570" t="s">
        <v>505</v>
      </c>
      <c r="G95" s="437">
        <v>44413</v>
      </c>
      <c r="H95" s="421"/>
      <c r="I95" s="338" t="s">
        <v>86</v>
      </c>
      <c r="J95" s="447" t="s">
        <v>526</v>
      </c>
      <c r="K95" s="454">
        <v>40</v>
      </c>
      <c r="L95" s="420"/>
      <c r="M95" s="137">
        <f>K95</f>
        <v>40</v>
      </c>
      <c r="N95" s="442"/>
      <c r="O95" s="438"/>
      <c r="P95" s="87">
        <f t="shared" ref="P95:P119" si="23">M95-N95</f>
        <v>40</v>
      </c>
    </row>
    <row r="96" spans="1:16" s="9" customFormat="1" ht="30.75" customHeight="1" x14ac:dyDescent="0.25">
      <c r="A96" s="78"/>
      <c r="B96" s="79"/>
      <c r="C96" s="547"/>
      <c r="D96" s="436">
        <v>45240</v>
      </c>
      <c r="E96" s="428" t="s">
        <v>50</v>
      </c>
      <c r="F96" s="524"/>
      <c r="G96" s="390">
        <v>45182</v>
      </c>
      <c r="H96" s="525"/>
      <c r="I96" s="468" t="s">
        <v>407</v>
      </c>
      <c r="J96" s="335" t="s">
        <v>316</v>
      </c>
      <c r="K96" s="443">
        <v>1</v>
      </c>
      <c r="L96" s="526"/>
      <c r="M96" s="137">
        <f t="shared" ref="M96:M119" si="24">K96</f>
        <v>1</v>
      </c>
      <c r="N96" s="442"/>
      <c r="O96" s="438"/>
      <c r="P96" s="137">
        <f t="shared" si="23"/>
        <v>1</v>
      </c>
    </row>
    <row r="97" spans="1:16" s="9" customFormat="1" ht="30.75" customHeight="1" x14ac:dyDescent="0.25">
      <c r="A97" s="78"/>
      <c r="B97" s="79"/>
      <c r="C97" s="547" t="s">
        <v>568</v>
      </c>
      <c r="D97" s="436">
        <v>44951</v>
      </c>
      <c r="E97" s="428" t="s">
        <v>50</v>
      </c>
      <c r="F97" s="524"/>
      <c r="G97" s="390">
        <v>45246</v>
      </c>
      <c r="H97" s="525"/>
      <c r="I97" s="468" t="s">
        <v>567</v>
      </c>
      <c r="J97" s="335" t="s">
        <v>292</v>
      </c>
      <c r="K97" s="443">
        <v>8</v>
      </c>
      <c r="L97" s="526"/>
      <c r="M97" s="137">
        <f t="shared" si="24"/>
        <v>8</v>
      </c>
      <c r="N97" s="442"/>
      <c r="O97" s="438"/>
      <c r="P97" s="137">
        <f t="shared" si="23"/>
        <v>8</v>
      </c>
    </row>
    <row r="98" spans="1:16" s="9" customFormat="1" ht="30.75" customHeight="1" x14ac:dyDescent="0.25">
      <c r="A98" s="78"/>
      <c r="B98" s="79"/>
      <c r="C98" s="547" t="s">
        <v>570</v>
      </c>
      <c r="D98" s="436">
        <v>45250</v>
      </c>
      <c r="E98" s="428" t="s">
        <v>50</v>
      </c>
      <c r="F98" s="524"/>
      <c r="G98" s="390">
        <v>45246</v>
      </c>
      <c r="H98" s="525"/>
      <c r="I98" s="468" t="s">
        <v>571</v>
      </c>
      <c r="J98" s="335" t="s">
        <v>569</v>
      </c>
      <c r="K98" s="443">
        <v>2</v>
      </c>
      <c r="L98" s="526"/>
      <c r="M98" s="137">
        <f t="shared" si="24"/>
        <v>2</v>
      </c>
      <c r="N98" s="442"/>
      <c r="O98" s="438"/>
      <c r="P98" s="137">
        <f t="shared" si="23"/>
        <v>2</v>
      </c>
    </row>
    <row r="99" spans="1:16" s="9" customFormat="1" ht="30.75" customHeight="1" x14ac:dyDescent="0.25">
      <c r="A99" s="78"/>
      <c r="B99" s="79"/>
      <c r="C99" s="547" t="s">
        <v>570</v>
      </c>
      <c r="D99" s="436">
        <v>45250</v>
      </c>
      <c r="E99" s="428" t="s">
        <v>50</v>
      </c>
      <c r="F99" s="524"/>
      <c r="G99" s="390">
        <v>45246</v>
      </c>
      <c r="H99" s="525"/>
      <c r="I99" s="468" t="s">
        <v>572</v>
      </c>
      <c r="J99" s="335" t="s">
        <v>573</v>
      </c>
      <c r="K99" s="443">
        <v>2</v>
      </c>
      <c r="L99" s="526"/>
      <c r="M99" s="137">
        <f t="shared" si="24"/>
        <v>2</v>
      </c>
      <c r="N99" s="442"/>
      <c r="O99" s="438"/>
      <c r="P99" s="137">
        <f t="shared" si="23"/>
        <v>2</v>
      </c>
    </row>
    <row r="100" spans="1:16" s="9" customFormat="1" ht="36.75" customHeight="1" x14ac:dyDescent="0.25">
      <c r="A100" s="78"/>
      <c r="B100" s="79"/>
      <c r="C100" s="547" t="s">
        <v>575</v>
      </c>
      <c r="D100" s="436">
        <v>44951</v>
      </c>
      <c r="E100" s="428" t="s">
        <v>50</v>
      </c>
      <c r="F100" s="524"/>
      <c r="G100" s="390">
        <v>45250</v>
      </c>
      <c r="H100" s="525"/>
      <c r="I100" s="468" t="s">
        <v>574</v>
      </c>
      <c r="J100" s="335" t="s">
        <v>292</v>
      </c>
      <c r="K100" s="443">
        <v>8</v>
      </c>
      <c r="L100" s="526"/>
      <c r="M100" s="137">
        <f t="shared" si="24"/>
        <v>8</v>
      </c>
      <c r="N100" s="442"/>
      <c r="O100" s="438"/>
      <c r="P100" s="137">
        <f t="shared" si="23"/>
        <v>8</v>
      </c>
    </row>
    <row r="101" spans="1:16" s="9" customFormat="1" ht="36.75" customHeight="1" x14ac:dyDescent="0.25">
      <c r="A101" s="78"/>
      <c r="B101" s="79"/>
      <c r="C101" s="547" t="s">
        <v>632</v>
      </c>
      <c r="D101" s="436">
        <v>45285</v>
      </c>
      <c r="E101" s="428" t="s">
        <v>50</v>
      </c>
      <c r="F101" s="524"/>
      <c r="G101" s="390">
        <v>45258</v>
      </c>
      <c r="H101" s="525"/>
      <c r="I101" s="468" t="s">
        <v>631</v>
      </c>
      <c r="J101" s="335" t="s">
        <v>320</v>
      </c>
      <c r="K101" s="443">
        <v>2</v>
      </c>
      <c r="L101" s="526"/>
      <c r="M101" s="137">
        <f t="shared" si="24"/>
        <v>2</v>
      </c>
      <c r="N101" s="442"/>
      <c r="O101" s="438"/>
      <c r="P101" s="137">
        <f t="shared" si="23"/>
        <v>2</v>
      </c>
    </row>
    <row r="102" spans="1:16" s="9" customFormat="1" ht="36.75" customHeight="1" x14ac:dyDescent="0.25">
      <c r="A102" s="78"/>
      <c r="B102" s="79"/>
      <c r="C102" s="547" t="s">
        <v>424</v>
      </c>
      <c r="D102" s="436">
        <v>45261</v>
      </c>
      <c r="E102" s="428" t="s">
        <v>50</v>
      </c>
      <c r="F102" s="524"/>
      <c r="G102" s="390">
        <v>45189</v>
      </c>
      <c r="H102" s="525"/>
      <c r="I102" s="468" t="s">
        <v>425</v>
      </c>
      <c r="J102" s="335" t="s">
        <v>315</v>
      </c>
      <c r="K102" s="443">
        <v>8</v>
      </c>
      <c r="L102" s="526"/>
      <c r="M102" s="137">
        <f t="shared" si="24"/>
        <v>8</v>
      </c>
      <c r="N102" s="442"/>
      <c r="O102" s="438"/>
      <c r="P102" s="137">
        <f t="shared" si="23"/>
        <v>8</v>
      </c>
    </row>
    <row r="103" spans="1:16" s="9" customFormat="1" ht="32.25" customHeight="1" x14ac:dyDescent="0.25">
      <c r="A103" s="78"/>
      <c r="B103" s="79"/>
      <c r="C103" s="514" t="s">
        <v>309</v>
      </c>
      <c r="D103" s="436">
        <v>45117</v>
      </c>
      <c r="E103" s="428" t="s">
        <v>50</v>
      </c>
      <c r="F103" s="524"/>
      <c r="G103" s="390">
        <v>45086</v>
      </c>
      <c r="H103" s="525"/>
      <c r="I103" s="468" t="s">
        <v>293</v>
      </c>
      <c r="J103" s="335" t="s">
        <v>292</v>
      </c>
      <c r="K103" s="443">
        <v>4</v>
      </c>
      <c r="L103" s="526"/>
      <c r="M103" s="137">
        <f t="shared" si="24"/>
        <v>4</v>
      </c>
      <c r="N103" s="442"/>
      <c r="O103" s="438"/>
      <c r="P103" s="137">
        <f t="shared" si="23"/>
        <v>4</v>
      </c>
    </row>
    <row r="104" spans="1:16" s="9" customFormat="1" ht="32.25" customHeight="1" x14ac:dyDescent="0.25">
      <c r="A104" s="78"/>
      <c r="B104" s="79"/>
      <c r="C104" s="804" t="s">
        <v>658</v>
      </c>
      <c r="D104" s="436">
        <v>45321</v>
      </c>
      <c r="E104" s="428" t="s">
        <v>50</v>
      </c>
      <c r="F104" s="524"/>
      <c r="G104" s="390"/>
      <c r="H104" s="525"/>
      <c r="I104" s="468" t="s">
        <v>684</v>
      </c>
      <c r="J104" s="335" t="s">
        <v>327</v>
      </c>
      <c r="K104" s="443">
        <v>15</v>
      </c>
      <c r="L104" s="526"/>
      <c r="M104" s="137">
        <f t="shared" si="24"/>
        <v>15</v>
      </c>
      <c r="N104" s="442"/>
      <c r="O104" s="438"/>
      <c r="P104" s="137">
        <f t="shared" si="23"/>
        <v>15</v>
      </c>
    </row>
    <row r="105" spans="1:16" s="9" customFormat="1" ht="32.25" customHeight="1" x14ac:dyDescent="0.25">
      <c r="A105" s="78"/>
      <c r="B105" s="79"/>
      <c r="C105" s="807"/>
      <c r="D105" s="436">
        <v>45332</v>
      </c>
      <c r="E105" s="428" t="s">
        <v>50</v>
      </c>
      <c r="F105" s="524"/>
      <c r="G105" s="390"/>
      <c r="H105" s="525"/>
      <c r="I105" s="468" t="s">
        <v>685</v>
      </c>
      <c r="J105" s="335" t="s">
        <v>319</v>
      </c>
      <c r="K105" s="443">
        <v>10</v>
      </c>
      <c r="L105" s="526"/>
      <c r="M105" s="137">
        <f t="shared" si="24"/>
        <v>10</v>
      </c>
      <c r="N105" s="442"/>
      <c r="O105" s="438"/>
      <c r="P105" s="137">
        <f t="shared" si="23"/>
        <v>10</v>
      </c>
    </row>
    <row r="106" spans="1:16" s="9" customFormat="1" ht="32.25" customHeight="1" x14ac:dyDescent="0.25">
      <c r="A106" s="78"/>
      <c r="B106" s="79"/>
      <c r="C106" s="804" t="s">
        <v>686</v>
      </c>
      <c r="D106" s="436">
        <v>45321</v>
      </c>
      <c r="E106" s="428" t="s">
        <v>50</v>
      </c>
      <c r="F106" s="524"/>
      <c r="G106" s="390">
        <v>45288</v>
      </c>
      <c r="H106" s="525"/>
      <c r="I106" s="468" t="s">
        <v>687</v>
      </c>
      <c r="J106" s="335" t="s">
        <v>310</v>
      </c>
      <c r="K106" s="443">
        <v>3</v>
      </c>
      <c r="L106" s="526"/>
      <c r="M106" s="137">
        <f t="shared" si="24"/>
        <v>3</v>
      </c>
      <c r="N106" s="442"/>
      <c r="O106" s="438"/>
      <c r="P106" s="137">
        <f t="shared" si="23"/>
        <v>3</v>
      </c>
    </row>
    <row r="107" spans="1:16" s="9" customFormat="1" ht="32.25" customHeight="1" x14ac:dyDescent="0.25">
      <c r="A107" s="78"/>
      <c r="B107" s="79"/>
      <c r="C107" s="805"/>
      <c r="D107" s="436">
        <v>45321</v>
      </c>
      <c r="E107" s="428" t="s">
        <v>50</v>
      </c>
      <c r="F107" s="524"/>
      <c r="G107" s="390">
        <v>45288</v>
      </c>
      <c r="H107" s="525"/>
      <c r="I107" s="468" t="s">
        <v>688</v>
      </c>
      <c r="J107" s="335" t="s">
        <v>310</v>
      </c>
      <c r="K107" s="443">
        <v>3</v>
      </c>
      <c r="L107" s="526"/>
      <c r="M107" s="137">
        <f t="shared" si="24"/>
        <v>3</v>
      </c>
      <c r="N107" s="442"/>
      <c r="O107" s="438"/>
      <c r="P107" s="137">
        <f t="shared" si="23"/>
        <v>3</v>
      </c>
    </row>
    <row r="108" spans="1:16" s="9" customFormat="1" ht="32.25" customHeight="1" x14ac:dyDescent="0.25">
      <c r="A108" s="78"/>
      <c r="B108" s="79"/>
      <c r="C108" s="805"/>
      <c r="D108" s="436">
        <v>45306</v>
      </c>
      <c r="E108" s="428" t="s">
        <v>50</v>
      </c>
      <c r="F108" s="524"/>
      <c r="G108" s="390">
        <v>45288</v>
      </c>
      <c r="H108" s="525"/>
      <c r="I108" s="468" t="s">
        <v>689</v>
      </c>
      <c r="J108" s="335" t="s">
        <v>311</v>
      </c>
      <c r="K108" s="443">
        <v>4</v>
      </c>
      <c r="L108" s="526"/>
      <c r="M108" s="137">
        <f t="shared" si="24"/>
        <v>4</v>
      </c>
      <c r="N108" s="442"/>
      <c r="O108" s="438"/>
      <c r="P108" s="137">
        <f t="shared" si="23"/>
        <v>4</v>
      </c>
    </row>
    <row r="109" spans="1:16" s="9" customFormat="1" ht="32.25" customHeight="1" x14ac:dyDescent="0.25">
      <c r="A109" s="78"/>
      <c r="B109" s="79"/>
      <c r="C109" s="805"/>
      <c r="D109" s="436">
        <v>45306</v>
      </c>
      <c r="E109" s="428" t="s">
        <v>50</v>
      </c>
      <c r="F109" s="524"/>
      <c r="G109" s="390">
        <v>45288</v>
      </c>
      <c r="H109" s="525"/>
      <c r="I109" s="468" t="s">
        <v>690</v>
      </c>
      <c r="J109" s="335" t="s">
        <v>311</v>
      </c>
      <c r="K109" s="443">
        <v>4</v>
      </c>
      <c r="L109" s="526"/>
      <c r="M109" s="137">
        <f t="shared" si="24"/>
        <v>4</v>
      </c>
      <c r="N109" s="442"/>
      <c r="O109" s="438"/>
      <c r="P109" s="137">
        <f t="shared" si="23"/>
        <v>4</v>
      </c>
    </row>
    <row r="110" spans="1:16" s="9" customFormat="1" ht="32.25" customHeight="1" x14ac:dyDescent="0.25">
      <c r="A110" s="78"/>
      <c r="B110" s="79"/>
      <c r="C110" s="805"/>
      <c r="D110" s="436">
        <v>45337</v>
      </c>
      <c r="E110" s="428" t="s">
        <v>50</v>
      </c>
      <c r="F110" s="524"/>
      <c r="G110" s="390">
        <v>45288</v>
      </c>
      <c r="H110" s="525"/>
      <c r="I110" s="468" t="s">
        <v>691</v>
      </c>
      <c r="J110" s="335" t="s">
        <v>311</v>
      </c>
      <c r="K110" s="443">
        <v>8</v>
      </c>
      <c r="L110" s="526"/>
      <c r="M110" s="137">
        <f t="shared" si="24"/>
        <v>8</v>
      </c>
      <c r="N110" s="442"/>
      <c r="O110" s="438"/>
      <c r="P110" s="137">
        <f t="shared" si="23"/>
        <v>8</v>
      </c>
    </row>
    <row r="111" spans="1:16" s="9" customFormat="1" ht="32.25" customHeight="1" x14ac:dyDescent="0.25">
      <c r="A111" s="78"/>
      <c r="B111" s="79"/>
      <c r="C111" s="805"/>
      <c r="D111" s="436">
        <v>45306</v>
      </c>
      <c r="E111" s="428" t="s">
        <v>50</v>
      </c>
      <c r="F111" s="524"/>
      <c r="G111" s="390">
        <v>45288</v>
      </c>
      <c r="H111" s="525"/>
      <c r="I111" s="468" t="s">
        <v>692</v>
      </c>
      <c r="J111" s="335" t="s">
        <v>102</v>
      </c>
      <c r="K111" s="443">
        <v>2</v>
      </c>
      <c r="L111" s="526"/>
      <c r="M111" s="137">
        <f t="shared" si="24"/>
        <v>2</v>
      </c>
      <c r="N111" s="442"/>
      <c r="O111" s="438"/>
      <c r="P111" s="137">
        <f t="shared" si="23"/>
        <v>2</v>
      </c>
    </row>
    <row r="112" spans="1:16" s="9" customFormat="1" ht="32.25" customHeight="1" x14ac:dyDescent="0.25">
      <c r="A112" s="78"/>
      <c r="B112" s="79"/>
      <c r="C112" s="805"/>
      <c r="D112" s="436">
        <v>45337</v>
      </c>
      <c r="E112" s="428" t="s">
        <v>50</v>
      </c>
      <c r="F112" s="524"/>
      <c r="G112" s="390">
        <v>45288</v>
      </c>
      <c r="H112" s="525"/>
      <c r="I112" s="468" t="s">
        <v>693</v>
      </c>
      <c r="J112" s="335" t="s">
        <v>102</v>
      </c>
      <c r="K112" s="443">
        <v>4</v>
      </c>
      <c r="L112" s="526"/>
      <c r="M112" s="137">
        <f t="shared" si="24"/>
        <v>4</v>
      </c>
      <c r="N112" s="442"/>
      <c r="O112" s="438"/>
      <c r="P112" s="137">
        <f t="shared" si="23"/>
        <v>4</v>
      </c>
    </row>
    <row r="113" spans="1:17" s="9" customFormat="1" ht="38.25" customHeight="1" x14ac:dyDescent="0.25">
      <c r="A113" s="78"/>
      <c r="B113" s="79"/>
      <c r="C113" s="805"/>
      <c r="D113" s="436">
        <v>45332</v>
      </c>
      <c r="E113" s="428" t="s">
        <v>50</v>
      </c>
      <c r="F113" s="524"/>
      <c r="G113" s="390">
        <v>45288</v>
      </c>
      <c r="H113" s="525"/>
      <c r="I113" s="468" t="s">
        <v>694</v>
      </c>
      <c r="J113" s="335" t="s">
        <v>317</v>
      </c>
      <c r="K113" s="443">
        <v>2</v>
      </c>
      <c r="L113" s="526"/>
      <c r="M113" s="137">
        <f t="shared" si="24"/>
        <v>2</v>
      </c>
      <c r="N113" s="442"/>
      <c r="O113" s="438"/>
      <c r="P113" s="137">
        <f t="shared" si="23"/>
        <v>2</v>
      </c>
    </row>
    <row r="114" spans="1:17" s="9" customFormat="1" ht="41.25" customHeight="1" x14ac:dyDescent="0.25">
      <c r="A114" s="78"/>
      <c r="B114" s="79"/>
      <c r="C114" s="807"/>
      <c r="D114" s="436">
        <v>45332</v>
      </c>
      <c r="E114" s="428" t="s">
        <v>50</v>
      </c>
      <c r="F114" s="524"/>
      <c r="G114" s="390">
        <v>45288</v>
      </c>
      <c r="H114" s="525"/>
      <c r="I114" s="468" t="s">
        <v>695</v>
      </c>
      <c r="J114" s="335" t="s">
        <v>318</v>
      </c>
      <c r="K114" s="443">
        <v>2</v>
      </c>
      <c r="L114" s="526"/>
      <c r="M114" s="137">
        <f t="shared" si="24"/>
        <v>2</v>
      </c>
      <c r="N114" s="442"/>
      <c r="O114" s="438"/>
      <c r="P114" s="137">
        <f t="shared" si="23"/>
        <v>2</v>
      </c>
    </row>
    <row r="115" spans="1:17" s="9" customFormat="1" ht="32.25" customHeight="1" x14ac:dyDescent="0.25">
      <c r="A115" s="78"/>
      <c r="B115" s="79"/>
      <c r="C115" s="804" t="s">
        <v>658</v>
      </c>
      <c r="D115" s="436">
        <v>45347</v>
      </c>
      <c r="E115" s="428" t="s">
        <v>50</v>
      </c>
      <c r="F115" s="524"/>
      <c r="G115" s="390">
        <v>45275</v>
      </c>
      <c r="H115" s="525"/>
      <c r="I115" s="468" t="s">
        <v>653</v>
      </c>
      <c r="J115" s="335" t="s">
        <v>315</v>
      </c>
      <c r="K115" s="443">
        <v>4</v>
      </c>
      <c r="L115" s="526"/>
      <c r="M115" s="137">
        <f t="shared" si="24"/>
        <v>4</v>
      </c>
      <c r="N115" s="442"/>
      <c r="O115" s="438"/>
      <c r="P115" s="137">
        <f t="shared" si="23"/>
        <v>4</v>
      </c>
    </row>
    <row r="116" spans="1:17" s="9" customFormat="1" ht="66" x14ac:dyDescent="0.25">
      <c r="A116" s="78"/>
      <c r="B116" s="79"/>
      <c r="C116" s="805"/>
      <c r="D116" s="436">
        <v>45347</v>
      </c>
      <c r="E116" s="428" t="s">
        <v>50</v>
      </c>
      <c r="F116" s="524"/>
      <c r="G116" s="390">
        <v>45275</v>
      </c>
      <c r="H116" s="525"/>
      <c r="I116" s="468" t="s">
        <v>654</v>
      </c>
      <c r="J116" s="335" t="s">
        <v>350</v>
      </c>
      <c r="K116" s="443">
        <v>1</v>
      </c>
      <c r="L116" s="526"/>
      <c r="M116" s="137">
        <f t="shared" si="24"/>
        <v>1</v>
      </c>
      <c r="N116" s="442"/>
      <c r="O116" s="438"/>
      <c r="P116" s="137">
        <f t="shared" si="23"/>
        <v>1</v>
      </c>
    </row>
    <row r="117" spans="1:17" s="9" customFormat="1" ht="66" x14ac:dyDescent="0.25">
      <c r="A117" s="78"/>
      <c r="B117" s="79"/>
      <c r="C117" s="805"/>
      <c r="D117" s="436">
        <v>45347</v>
      </c>
      <c r="E117" s="428" t="s">
        <v>50</v>
      </c>
      <c r="F117" s="524"/>
      <c r="G117" s="390">
        <v>45275</v>
      </c>
      <c r="H117" s="525"/>
      <c r="I117" s="468" t="s">
        <v>655</v>
      </c>
      <c r="J117" s="335" t="s">
        <v>351</v>
      </c>
      <c r="K117" s="443">
        <v>1</v>
      </c>
      <c r="L117" s="526"/>
      <c r="M117" s="137">
        <f t="shared" si="24"/>
        <v>1</v>
      </c>
      <c r="N117" s="442"/>
      <c r="O117" s="438"/>
      <c r="P117" s="137">
        <f t="shared" si="23"/>
        <v>1</v>
      </c>
    </row>
    <row r="118" spans="1:17" s="9" customFormat="1" ht="52.8" x14ac:dyDescent="0.25">
      <c r="A118" s="78"/>
      <c r="B118" s="79"/>
      <c r="C118" s="805"/>
      <c r="D118" s="436">
        <v>45347</v>
      </c>
      <c r="E118" s="428" t="s">
        <v>50</v>
      </c>
      <c r="F118" s="524"/>
      <c r="G118" s="390">
        <v>45275</v>
      </c>
      <c r="H118" s="525"/>
      <c r="I118" s="468" t="s">
        <v>656</v>
      </c>
      <c r="J118" s="335" t="s">
        <v>352</v>
      </c>
      <c r="K118" s="443">
        <v>1</v>
      </c>
      <c r="L118" s="526"/>
      <c r="M118" s="137">
        <f t="shared" si="24"/>
        <v>1</v>
      </c>
      <c r="N118" s="442"/>
      <c r="O118" s="438"/>
      <c r="P118" s="137">
        <f t="shared" si="23"/>
        <v>1</v>
      </c>
    </row>
    <row r="119" spans="1:17" s="9" customFormat="1" ht="52.8" x14ac:dyDescent="0.25">
      <c r="A119" s="78"/>
      <c r="B119" s="79"/>
      <c r="C119" s="806"/>
      <c r="D119" s="436">
        <v>45347</v>
      </c>
      <c r="E119" s="428" t="s">
        <v>50</v>
      </c>
      <c r="F119" s="524"/>
      <c r="G119" s="390">
        <v>45275</v>
      </c>
      <c r="H119" s="525"/>
      <c r="I119" s="468" t="s">
        <v>657</v>
      </c>
      <c r="J119" s="335" t="s">
        <v>353</v>
      </c>
      <c r="K119" s="443">
        <v>1</v>
      </c>
      <c r="L119" s="526"/>
      <c r="M119" s="137">
        <f t="shared" si="24"/>
        <v>1</v>
      </c>
      <c r="N119" s="442"/>
      <c r="O119" s="438"/>
      <c r="P119" s="137">
        <f t="shared" si="23"/>
        <v>1</v>
      </c>
    </row>
    <row r="120" spans="1:17" s="56" customFormat="1" ht="15" x14ac:dyDescent="0.25">
      <c r="A120" s="41"/>
      <c r="B120" s="334" t="s">
        <v>275</v>
      </c>
      <c r="C120" s="368"/>
      <c r="D120" s="44"/>
      <c r="E120" s="45"/>
      <c r="F120" s="46"/>
      <c r="G120" s="47"/>
      <c r="H120" s="48"/>
      <c r="I120" s="49"/>
      <c r="J120" s="50"/>
      <c r="K120" s="51"/>
      <c r="L120" s="53"/>
      <c r="M120" s="54"/>
      <c r="N120" s="55"/>
      <c r="O120" s="53"/>
      <c r="P120" s="54"/>
    </row>
    <row r="121" spans="1:17" s="9" customFormat="1" ht="39.6" x14ac:dyDescent="0.25">
      <c r="A121" s="89"/>
      <c r="B121" s="379"/>
      <c r="C121" s="472" t="s">
        <v>276</v>
      </c>
      <c r="D121" s="455">
        <v>45204</v>
      </c>
      <c r="E121" s="428" t="s">
        <v>50</v>
      </c>
      <c r="F121" s="456"/>
      <c r="G121" s="83">
        <v>45082</v>
      </c>
      <c r="H121" s="457"/>
      <c r="I121" s="338" t="s">
        <v>277</v>
      </c>
      <c r="J121" s="335" t="s">
        <v>278</v>
      </c>
      <c r="K121" s="343">
        <v>1</v>
      </c>
      <c r="L121" s="458"/>
      <c r="M121" s="87">
        <v>1</v>
      </c>
      <c r="N121" s="449">
        <v>1</v>
      </c>
      <c r="O121" s="142"/>
      <c r="P121" s="137">
        <v>0</v>
      </c>
    </row>
    <row r="122" spans="1:17" s="56" customFormat="1" ht="18" customHeight="1" x14ac:dyDescent="0.25">
      <c r="A122" s="41"/>
      <c r="B122" s="330" t="s">
        <v>496</v>
      </c>
      <c r="C122" s="96"/>
      <c r="D122" s="44"/>
      <c r="E122" s="45"/>
      <c r="F122" s="46"/>
      <c r="G122" s="47"/>
      <c r="H122" s="48"/>
      <c r="I122" s="49"/>
      <c r="J122" s="50"/>
      <c r="K122" s="51"/>
      <c r="L122" s="53"/>
      <c r="M122" s="49"/>
      <c r="N122" s="55"/>
      <c r="O122" s="53"/>
      <c r="P122" s="54"/>
      <c r="Q122" s="424"/>
    </row>
    <row r="123" spans="1:17" s="56" customFormat="1" ht="15" x14ac:dyDescent="0.25">
      <c r="A123" s="41"/>
      <c r="B123" s="369" t="s">
        <v>467</v>
      </c>
      <c r="C123" s="368"/>
      <c r="D123" s="44"/>
      <c r="E123" s="45"/>
      <c r="F123" s="46"/>
      <c r="G123" s="47"/>
      <c r="H123" s="48"/>
      <c r="I123" s="49"/>
      <c r="J123" s="50"/>
      <c r="K123" s="51"/>
      <c r="L123" s="53"/>
      <c r="M123" s="54"/>
      <c r="N123" s="55"/>
      <c r="O123" s="53"/>
      <c r="P123" s="54"/>
    </row>
    <row r="124" spans="1:17" s="9" customFormat="1" ht="33.75" customHeight="1" x14ac:dyDescent="0.25">
      <c r="A124" s="89"/>
      <c r="B124" s="379"/>
      <c r="C124" s="795" t="s">
        <v>578</v>
      </c>
      <c r="D124" s="455">
        <v>45371</v>
      </c>
      <c r="E124" s="428" t="s">
        <v>50</v>
      </c>
      <c r="F124" s="456"/>
      <c r="G124" s="83">
        <v>45251</v>
      </c>
      <c r="H124" s="457"/>
      <c r="I124" s="338" t="s">
        <v>579</v>
      </c>
      <c r="J124" s="335" t="s">
        <v>580</v>
      </c>
      <c r="K124" s="443">
        <v>4</v>
      </c>
      <c r="L124" s="458"/>
      <c r="M124" s="137">
        <f t="shared" ref="M124:M125" si="25">K124</f>
        <v>4</v>
      </c>
      <c r="N124" s="433"/>
      <c r="O124" s="438"/>
      <c r="P124" s="87">
        <f t="shared" ref="P124:P125" si="26">M124-N124</f>
        <v>4</v>
      </c>
    </row>
    <row r="125" spans="1:17" s="9" customFormat="1" ht="33.75" customHeight="1" x14ac:dyDescent="0.25">
      <c r="A125" s="89"/>
      <c r="B125" s="379"/>
      <c r="C125" s="796"/>
      <c r="D125" s="455">
        <v>45321</v>
      </c>
      <c r="E125" s="428" t="s">
        <v>50</v>
      </c>
      <c r="F125" s="456"/>
      <c r="G125" s="83">
        <v>45251</v>
      </c>
      <c r="H125" s="457"/>
      <c r="I125" s="338" t="s">
        <v>581</v>
      </c>
      <c r="J125" s="335" t="s">
        <v>582</v>
      </c>
      <c r="K125" s="443">
        <v>10</v>
      </c>
      <c r="L125" s="458"/>
      <c r="M125" s="137">
        <f t="shared" si="25"/>
        <v>10</v>
      </c>
      <c r="N125" s="433"/>
      <c r="O125" s="438"/>
      <c r="P125" s="87">
        <f t="shared" si="26"/>
        <v>10</v>
      </c>
    </row>
    <row r="126" spans="1:17" s="9" customFormat="1" ht="17.25" customHeight="1" x14ac:dyDescent="0.25">
      <c r="A126" s="97"/>
      <c r="B126" s="334" t="s">
        <v>53</v>
      </c>
      <c r="C126" s="96"/>
      <c r="D126" s="98"/>
      <c r="E126" s="99"/>
      <c r="F126" s="569">
        <f>SUM(F127:F155)</f>
        <v>0</v>
      </c>
      <c r="G126" s="101"/>
      <c r="H126" s="102"/>
      <c r="I126" s="103"/>
      <c r="J126" s="105"/>
      <c r="K126" s="106"/>
      <c r="L126" s="53"/>
      <c r="M126" s="54"/>
      <c r="N126" s="55"/>
      <c r="O126" s="53"/>
      <c r="P126" s="54"/>
    </row>
    <row r="127" spans="1:17" s="9" customFormat="1" ht="33.75" customHeight="1" x14ac:dyDescent="0.25">
      <c r="A127" s="89"/>
      <c r="B127" s="379"/>
      <c r="C127" s="510" t="s">
        <v>156</v>
      </c>
      <c r="D127" s="455">
        <v>45016</v>
      </c>
      <c r="E127" s="428" t="s">
        <v>50</v>
      </c>
      <c r="F127" s="456"/>
      <c r="G127" s="83">
        <v>44911</v>
      </c>
      <c r="H127" s="457"/>
      <c r="I127" s="338" t="s">
        <v>155</v>
      </c>
      <c r="J127" s="335" t="s">
        <v>154</v>
      </c>
      <c r="K127" s="443">
        <v>5</v>
      </c>
      <c r="L127" s="458"/>
      <c r="M127" s="137">
        <f t="shared" ref="M127:M190" si="27">K127</f>
        <v>5</v>
      </c>
      <c r="N127" s="433"/>
      <c r="O127" s="438"/>
      <c r="P127" s="87">
        <f t="shared" ref="P127:P190" si="28">M127-N127</f>
        <v>5</v>
      </c>
    </row>
    <row r="128" spans="1:17" s="9" customFormat="1" ht="33.75" customHeight="1" x14ac:dyDescent="0.25">
      <c r="A128" s="89"/>
      <c r="B128" s="379"/>
      <c r="C128" s="534" t="s">
        <v>158</v>
      </c>
      <c r="D128" s="455">
        <v>45066</v>
      </c>
      <c r="E128" s="428" t="s">
        <v>50</v>
      </c>
      <c r="F128" s="456"/>
      <c r="G128" s="83">
        <v>44907</v>
      </c>
      <c r="H128" s="457"/>
      <c r="I128" s="338" t="s">
        <v>157</v>
      </c>
      <c r="J128" s="335" t="s">
        <v>154</v>
      </c>
      <c r="K128" s="443">
        <v>15</v>
      </c>
      <c r="L128" s="458"/>
      <c r="M128" s="137">
        <f t="shared" si="27"/>
        <v>15</v>
      </c>
      <c r="N128" s="433"/>
      <c r="O128" s="438"/>
      <c r="P128" s="87">
        <f t="shared" si="28"/>
        <v>15</v>
      </c>
    </row>
    <row r="129" spans="1:18" s="9" customFormat="1" ht="32.25" customHeight="1" x14ac:dyDescent="0.25">
      <c r="A129" s="89"/>
      <c r="B129" s="379"/>
      <c r="C129" s="514"/>
      <c r="D129" s="455" t="s">
        <v>212</v>
      </c>
      <c r="E129" s="428" t="s">
        <v>50</v>
      </c>
      <c r="F129" s="456"/>
      <c r="G129" s="83">
        <v>44956</v>
      </c>
      <c r="H129" s="457"/>
      <c r="I129" s="338" t="s">
        <v>213</v>
      </c>
      <c r="J129" s="335" t="s">
        <v>211</v>
      </c>
      <c r="K129" s="443">
        <v>1</v>
      </c>
      <c r="L129" s="458"/>
      <c r="M129" s="137">
        <f t="shared" si="27"/>
        <v>1</v>
      </c>
      <c r="N129" s="433">
        <v>1</v>
      </c>
      <c r="O129" s="438"/>
      <c r="P129" s="87">
        <f t="shared" si="28"/>
        <v>0</v>
      </c>
    </row>
    <row r="130" spans="1:18" s="9" customFormat="1" ht="32.25" customHeight="1" x14ac:dyDescent="0.25">
      <c r="A130" s="89"/>
      <c r="B130" s="379"/>
      <c r="C130" s="514" t="s">
        <v>215</v>
      </c>
      <c r="D130" s="455">
        <v>45046</v>
      </c>
      <c r="E130" s="428" t="s">
        <v>50</v>
      </c>
      <c r="F130" s="456"/>
      <c r="G130" s="83">
        <v>44970</v>
      </c>
      <c r="H130" s="457"/>
      <c r="I130" s="338" t="s">
        <v>214</v>
      </c>
      <c r="J130" s="335" t="s">
        <v>126</v>
      </c>
      <c r="K130" s="443">
        <v>1</v>
      </c>
      <c r="L130" s="458"/>
      <c r="M130" s="137">
        <f t="shared" si="27"/>
        <v>1</v>
      </c>
      <c r="N130" s="433"/>
      <c r="O130" s="438"/>
      <c r="P130" s="87">
        <f t="shared" si="28"/>
        <v>1</v>
      </c>
    </row>
    <row r="131" spans="1:18" s="9" customFormat="1" ht="32.25" customHeight="1" x14ac:dyDescent="0.25">
      <c r="A131" s="89"/>
      <c r="B131" s="379"/>
      <c r="C131" s="514" t="s">
        <v>225</v>
      </c>
      <c r="D131" s="455">
        <v>45155</v>
      </c>
      <c r="E131" s="428" t="s">
        <v>50</v>
      </c>
      <c r="F131" s="456"/>
      <c r="G131" s="83">
        <v>45002</v>
      </c>
      <c r="H131" s="457"/>
      <c r="I131" s="338" t="s">
        <v>224</v>
      </c>
      <c r="J131" s="335" t="s">
        <v>223</v>
      </c>
      <c r="K131" s="443">
        <v>88</v>
      </c>
      <c r="L131" s="458"/>
      <c r="M131" s="137">
        <f t="shared" si="27"/>
        <v>88</v>
      </c>
      <c r="N131" s="433"/>
      <c r="O131" s="438"/>
      <c r="P131" s="87">
        <f t="shared" si="28"/>
        <v>88</v>
      </c>
    </row>
    <row r="132" spans="1:18" s="9" customFormat="1" ht="35.25" customHeight="1" x14ac:dyDescent="0.25">
      <c r="A132" s="89"/>
      <c r="B132" s="379"/>
      <c r="C132" s="514" t="s">
        <v>234</v>
      </c>
      <c r="D132" s="455">
        <v>45211</v>
      </c>
      <c r="E132" s="428" t="s">
        <v>50</v>
      </c>
      <c r="F132" s="456"/>
      <c r="G132" s="83">
        <v>45028</v>
      </c>
      <c r="H132" s="457"/>
      <c r="I132" s="338" t="s">
        <v>233</v>
      </c>
      <c r="J132" s="335" t="s">
        <v>232</v>
      </c>
      <c r="K132" s="443">
        <v>1</v>
      </c>
      <c r="L132" s="458"/>
      <c r="M132" s="137">
        <f t="shared" si="27"/>
        <v>1</v>
      </c>
      <c r="N132" s="433">
        <v>1</v>
      </c>
      <c r="O132" s="438"/>
      <c r="P132" s="87">
        <f t="shared" si="28"/>
        <v>0</v>
      </c>
    </row>
    <row r="133" spans="1:18" s="9" customFormat="1" ht="35.25" customHeight="1" x14ac:dyDescent="0.25">
      <c r="A133" s="89"/>
      <c r="B133" s="379"/>
      <c r="C133" s="514" t="s">
        <v>344</v>
      </c>
      <c r="D133" s="455">
        <v>45260</v>
      </c>
      <c r="E133" s="428" t="s">
        <v>60</v>
      </c>
      <c r="F133" s="456"/>
      <c r="G133" s="83">
        <v>45132</v>
      </c>
      <c r="H133" s="457"/>
      <c r="I133" s="338" t="s">
        <v>345</v>
      </c>
      <c r="J133" s="335" t="s">
        <v>343</v>
      </c>
      <c r="K133" s="443">
        <v>1</v>
      </c>
      <c r="L133" s="458"/>
      <c r="M133" s="137">
        <f t="shared" si="27"/>
        <v>1</v>
      </c>
      <c r="N133" s="433"/>
      <c r="O133" s="438"/>
      <c r="P133" s="87">
        <f t="shared" si="28"/>
        <v>1</v>
      </c>
    </row>
    <row r="134" spans="1:18" s="9" customFormat="1" ht="29.25" customHeight="1" x14ac:dyDescent="0.25">
      <c r="A134" s="89"/>
      <c r="B134" s="379"/>
      <c r="C134" s="509" t="s">
        <v>304</v>
      </c>
      <c r="D134" s="455">
        <v>45283</v>
      </c>
      <c r="E134" s="428" t="s">
        <v>50</v>
      </c>
      <c r="F134" s="520"/>
      <c r="G134" s="83">
        <v>45100</v>
      </c>
      <c r="H134" s="457"/>
      <c r="I134" s="338" t="s">
        <v>306</v>
      </c>
      <c r="J134" s="335" t="s">
        <v>305</v>
      </c>
      <c r="K134" s="443">
        <v>1</v>
      </c>
      <c r="L134" s="458"/>
      <c r="M134" s="137">
        <f t="shared" si="27"/>
        <v>1</v>
      </c>
      <c r="N134" s="433"/>
      <c r="O134" s="438"/>
      <c r="P134" s="87">
        <f t="shared" si="28"/>
        <v>1</v>
      </c>
    </row>
    <row r="135" spans="1:18" s="9" customFormat="1" ht="36" customHeight="1" x14ac:dyDescent="0.25">
      <c r="A135" s="89"/>
      <c r="B135" s="379"/>
      <c r="C135" s="510" t="s">
        <v>323</v>
      </c>
      <c r="D135" s="455">
        <v>45266</v>
      </c>
      <c r="E135" s="428" t="s">
        <v>50</v>
      </c>
      <c r="F135" s="520"/>
      <c r="G135" s="83">
        <v>45113</v>
      </c>
      <c r="H135" s="457"/>
      <c r="I135" s="338" t="s">
        <v>324</v>
      </c>
      <c r="J135" s="335" t="s">
        <v>322</v>
      </c>
      <c r="K135" s="443">
        <v>2</v>
      </c>
      <c r="L135" s="458"/>
      <c r="M135" s="137">
        <f t="shared" si="27"/>
        <v>2</v>
      </c>
      <c r="N135" s="433">
        <v>2</v>
      </c>
      <c r="O135" s="438"/>
      <c r="P135" s="87">
        <f t="shared" si="28"/>
        <v>0</v>
      </c>
    </row>
    <row r="136" spans="1:18" s="9" customFormat="1" ht="36" customHeight="1" x14ac:dyDescent="0.25">
      <c r="A136" s="89"/>
      <c r="B136" s="379"/>
      <c r="C136" s="510" t="s">
        <v>325</v>
      </c>
      <c r="D136" s="455">
        <v>45285</v>
      </c>
      <c r="E136" s="428" t="s">
        <v>50</v>
      </c>
      <c r="F136" s="520"/>
      <c r="G136" s="83">
        <v>45117</v>
      </c>
      <c r="H136" s="457"/>
      <c r="I136" s="338" t="s">
        <v>326</v>
      </c>
      <c r="J136" s="335" t="s">
        <v>290</v>
      </c>
      <c r="K136" s="443">
        <v>6</v>
      </c>
      <c r="L136" s="458"/>
      <c r="M136" s="137">
        <v>3</v>
      </c>
      <c r="N136" s="433">
        <v>3</v>
      </c>
      <c r="O136" s="438"/>
      <c r="P136" s="87">
        <f t="shared" si="28"/>
        <v>0</v>
      </c>
    </row>
    <row r="137" spans="1:18" s="9" customFormat="1" ht="36" customHeight="1" x14ac:dyDescent="0.25">
      <c r="A137" s="89"/>
      <c r="B137" s="379"/>
      <c r="C137" s="510" t="s">
        <v>328</v>
      </c>
      <c r="D137" s="455">
        <v>45255</v>
      </c>
      <c r="E137" s="428" t="s">
        <v>50</v>
      </c>
      <c r="F137" s="520"/>
      <c r="G137" s="83">
        <v>45118</v>
      </c>
      <c r="H137" s="457"/>
      <c r="I137" s="338" t="s">
        <v>329</v>
      </c>
      <c r="J137" s="335" t="s">
        <v>290</v>
      </c>
      <c r="K137" s="443">
        <v>6</v>
      </c>
      <c r="L137" s="458"/>
      <c r="M137" s="137">
        <f t="shared" si="27"/>
        <v>6</v>
      </c>
      <c r="N137" s="433"/>
      <c r="O137" s="438"/>
      <c r="P137" s="87">
        <f t="shared" si="28"/>
        <v>6</v>
      </c>
    </row>
    <row r="138" spans="1:18" s="9" customFormat="1" ht="36" customHeight="1" x14ac:dyDescent="0.25">
      <c r="A138" s="89"/>
      <c r="B138" s="379"/>
      <c r="C138" s="510" t="s">
        <v>330</v>
      </c>
      <c r="D138" s="455">
        <v>45277</v>
      </c>
      <c r="E138" s="428" t="s">
        <v>50</v>
      </c>
      <c r="F138" s="520"/>
      <c r="G138" s="83">
        <v>45124</v>
      </c>
      <c r="H138" s="457"/>
      <c r="I138" s="338" t="s">
        <v>332</v>
      </c>
      <c r="J138" s="335" t="s">
        <v>331</v>
      </c>
      <c r="K138" s="443">
        <v>2</v>
      </c>
      <c r="L138" s="458"/>
      <c r="M138" s="137">
        <f t="shared" si="27"/>
        <v>2</v>
      </c>
      <c r="N138" s="433"/>
      <c r="O138" s="438"/>
      <c r="P138" s="87">
        <f t="shared" si="28"/>
        <v>2</v>
      </c>
    </row>
    <row r="139" spans="1:18" s="9" customFormat="1" ht="28.5" customHeight="1" x14ac:dyDescent="0.25">
      <c r="A139" s="89"/>
      <c r="B139" s="379"/>
      <c r="C139" s="510" t="s">
        <v>330</v>
      </c>
      <c r="D139" s="455">
        <v>45277</v>
      </c>
      <c r="E139" s="428" t="s">
        <v>50</v>
      </c>
      <c r="F139" s="520"/>
      <c r="G139" s="83">
        <v>45124</v>
      </c>
      <c r="H139" s="457"/>
      <c r="I139" s="338" t="s">
        <v>333</v>
      </c>
      <c r="J139" s="335" t="s">
        <v>168</v>
      </c>
      <c r="K139" s="443">
        <v>1</v>
      </c>
      <c r="L139" s="458"/>
      <c r="M139" s="137">
        <f t="shared" si="27"/>
        <v>1</v>
      </c>
      <c r="N139" s="433"/>
      <c r="O139" s="438"/>
      <c r="P139" s="87">
        <f t="shared" si="28"/>
        <v>1</v>
      </c>
      <c r="R139" s="1" t="s">
        <v>1</v>
      </c>
    </row>
    <row r="140" spans="1:18" s="9" customFormat="1" ht="28.5" customHeight="1" x14ac:dyDescent="0.25">
      <c r="A140" s="89"/>
      <c r="B140" s="379"/>
      <c r="C140" s="810" t="s">
        <v>334</v>
      </c>
      <c r="D140" s="455">
        <v>45278</v>
      </c>
      <c r="E140" s="428" t="s">
        <v>50</v>
      </c>
      <c r="F140" s="520"/>
      <c r="G140" s="83">
        <v>45124</v>
      </c>
      <c r="H140" s="457"/>
      <c r="I140" s="338" t="s">
        <v>337</v>
      </c>
      <c r="J140" s="335" t="s">
        <v>335</v>
      </c>
      <c r="K140" s="443">
        <v>1</v>
      </c>
      <c r="L140" s="458"/>
      <c r="M140" s="137">
        <f t="shared" si="27"/>
        <v>1</v>
      </c>
      <c r="N140" s="433"/>
      <c r="O140" s="438"/>
      <c r="P140" s="87">
        <f t="shared" si="28"/>
        <v>1</v>
      </c>
    </row>
    <row r="141" spans="1:18" s="9" customFormat="1" ht="28.5" customHeight="1" x14ac:dyDescent="0.25">
      <c r="A141" s="89"/>
      <c r="B141" s="379"/>
      <c r="C141" s="811"/>
      <c r="D141" s="455">
        <v>45278</v>
      </c>
      <c r="E141" s="428" t="s">
        <v>50</v>
      </c>
      <c r="F141" s="520"/>
      <c r="G141" s="83">
        <v>45124</v>
      </c>
      <c r="H141" s="457"/>
      <c r="I141" s="338" t="s">
        <v>338</v>
      </c>
      <c r="J141" s="335" t="s">
        <v>227</v>
      </c>
      <c r="K141" s="443">
        <v>1</v>
      </c>
      <c r="L141" s="458"/>
      <c r="M141" s="137">
        <f t="shared" si="27"/>
        <v>1</v>
      </c>
      <c r="N141" s="433"/>
      <c r="O141" s="438"/>
      <c r="P141" s="87">
        <f t="shared" si="28"/>
        <v>1</v>
      </c>
    </row>
    <row r="142" spans="1:18" s="9" customFormat="1" ht="39" customHeight="1" x14ac:dyDescent="0.25">
      <c r="A142" s="89"/>
      <c r="B142" s="379"/>
      <c r="C142" s="510" t="s">
        <v>341</v>
      </c>
      <c r="D142" s="455">
        <v>45278</v>
      </c>
      <c r="E142" s="428" t="s">
        <v>50</v>
      </c>
      <c r="F142" s="520"/>
      <c r="G142" s="83">
        <v>45126</v>
      </c>
      <c r="H142" s="457"/>
      <c r="I142" s="338" t="s">
        <v>340</v>
      </c>
      <c r="J142" s="335" t="s">
        <v>339</v>
      </c>
      <c r="K142" s="443">
        <v>2</v>
      </c>
      <c r="L142" s="458"/>
      <c r="M142" s="137">
        <f t="shared" si="27"/>
        <v>2</v>
      </c>
      <c r="N142" s="433">
        <v>2</v>
      </c>
      <c r="O142" s="438"/>
      <c r="P142" s="87">
        <f t="shared" si="28"/>
        <v>0</v>
      </c>
    </row>
    <row r="143" spans="1:18" s="9" customFormat="1" ht="39" customHeight="1" x14ac:dyDescent="0.25">
      <c r="A143" s="89"/>
      <c r="B143" s="379"/>
      <c r="C143" s="812" t="s">
        <v>344</v>
      </c>
      <c r="D143" s="455">
        <v>45316</v>
      </c>
      <c r="E143" s="428" t="s">
        <v>50</v>
      </c>
      <c r="F143" s="520"/>
      <c r="G143" s="83">
        <v>45142</v>
      </c>
      <c r="H143" s="457"/>
      <c r="I143" s="338" t="s">
        <v>358</v>
      </c>
      <c r="J143" s="335" t="s">
        <v>354</v>
      </c>
      <c r="K143" s="443">
        <v>4</v>
      </c>
      <c r="L143" s="458"/>
      <c r="M143" s="137">
        <f t="shared" si="27"/>
        <v>4</v>
      </c>
      <c r="N143" s="433"/>
      <c r="O143" s="438"/>
      <c r="P143" s="87">
        <f t="shared" si="28"/>
        <v>4</v>
      </c>
    </row>
    <row r="144" spans="1:18" s="9" customFormat="1" ht="39" customHeight="1" x14ac:dyDescent="0.25">
      <c r="A144" s="89"/>
      <c r="B144" s="379"/>
      <c r="C144" s="812"/>
      <c r="D144" s="455">
        <v>45316</v>
      </c>
      <c r="E144" s="428" t="s">
        <v>50</v>
      </c>
      <c r="F144" s="520"/>
      <c r="G144" s="83">
        <v>45142</v>
      </c>
      <c r="H144" s="457"/>
      <c r="I144" s="338" t="s">
        <v>359</v>
      </c>
      <c r="J144" s="335" t="s">
        <v>355</v>
      </c>
      <c r="K144" s="443">
        <v>6</v>
      </c>
      <c r="L144" s="458"/>
      <c r="M144" s="137">
        <f t="shared" si="27"/>
        <v>6</v>
      </c>
      <c r="N144" s="433"/>
      <c r="O144" s="438"/>
      <c r="P144" s="87">
        <f t="shared" si="28"/>
        <v>6</v>
      </c>
    </row>
    <row r="145" spans="1:16" s="9" customFormat="1" ht="39" customHeight="1" x14ac:dyDescent="0.25">
      <c r="A145" s="89"/>
      <c r="B145" s="379"/>
      <c r="C145" s="514" t="s">
        <v>356</v>
      </c>
      <c r="D145" s="455">
        <v>45316</v>
      </c>
      <c r="E145" s="428" t="s">
        <v>50</v>
      </c>
      <c r="F145" s="577"/>
      <c r="G145" s="83">
        <v>45142</v>
      </c>
      <c r="H145" s="457"/>
      <c r="I145" s="338" t="s">
        <v>357</v>
      </c>
      <c r="J145" s="335" t="s">
        <v>336</v>
      </c>
      <c r="K145" s="443">
        <v>4</v>
      </c>
      <c r="L145" s="458"/>
      <c r="M145" s="137">
        <f t="shared" si="27"/>
        <v>4</v>
      </c>
      <c r="N145" s="433"/>
      <c r="O145" s="438"/>
      <c r="P145" s="87">
        <f t="shared" si="28"/>
        <v>4</v>
      </c>
    </row>
    <row r="146" spans="1:16" s="9" customFormat="1" ht="33" customHeight="1" x14ac:dyDescent="0.25">
      <c r="A146" s="89"/>
      <c r="B146" s="379"/>
      <c r="C146" s="810" t="s">
        <v>380</v>
      </c>
      <c r="D146" s="455">
        <v>45276</v>
      </c>
      <c r="E146" s="428" t="s">
        <v>50</v>
      </c>
      <c r="F146" s="520"/>
      <c r="G146" s="83">
        <v>45154</v>
      </c>
      <c r="H146" s="457"/>
      <c r="I146" s="338" t="s">
        <v>376</v>
      </c>
      <c r="J146" s="335" t="s">
        <v>372</v>
      </c>
      <c r="K146" s="443">
        <v>1</v>
      </c>
      <c r="L146" s="458"/>
      <c r="M146" s="137">
        <f t="shared" si="27"/>
        <v>1</v>
      </c>
      <c r="N146" s="433"/>
      <c r="O146" s="438"/>
      <c r="P146" s="87">
        <f t="shared" si="28"/>
        <v>1</v>
      </c>
    </row>
    <row r="147" spans="1:16" s="9" customFormat="1" ht="33" customHeight="1" x14ac:dyDescent="0.25">
      <c r="A147" s="89"/>
      <c r="B147" s="379"/>
      <c r="C147" s="813"/>
      <c r="D147" s="455">
        <v>45276</v>
      </c>
      <c r="E147" s="428" t="s">
        <v>50</v>
      </c>
      <c r="F147" s="520"/>
      <c r="G147" s="83">
        <v>45154</v>
      </c>
      <c r="H147" s="457"/>
      <c r="I147" s="338" t="s">
        <v>377</v>
      </c>
      <c r="J147" s="335" t="s">
        <v>373</v>
      </c>
      <c r="K147" s="443">
        <v>1</v>
      </c>
      <c r="L147" s="458"/>
      <c r="M147" s="137">
        <f t="shared" si="27"/>
        <v>1</v>
      </c>
      <c r="N147" s="433"/>
      <c r="O147" s="438"/>
      <c r="P147" s="87">
        <f t="shared" si="28"/>
        <v>1</v>
      </c>
    </row>
    <row r="148" spans="1:16" s="9" customFormat="1" ht="33" customHeight="1" x14ac:dyDescent="0.25">
      <c r="A148" s="89"/>
      <c r="B148" s="379"/>
      <c r="C148" s="811"/>
      <c r="D148" s="455">
        <v>45276</v>
      </c>
      <c r="E148" s="428" t="s">
        <v>50</v>
      </c>
      <c r="F148" s="520"/>
      <c r="G148" s="83">
        <v>45154</v>
      </c>
      <c r="H148" s="457"/>
      <c r="I148" s="338" t="s">
        <v>378</v>
      </c>
      <c r="J148" s="335" t="s">
        <v>374</v>
      </c>
      <c r="K148" s="443">
        <v>2</v>
      </c>
      <c r="L148" s="458"/>
      <c r="M148" s="137">
        <f t="shared" si="27"/>
        <v>2</v>
      </c>
      <c r="N148" s="433"/>
      <c r="O148" s="438"/>
      <c r="P148" s="87">
        <f t="shared" si="28"/>
        <v>2</v>
      </c>
    </row>
    <row r="149" spans="1:16" s="9" customFormat="1" ht="33" customHeight="1" x14ac:dyDescent="0.25">
      <c r="A149" s="89"/>
      <c r="B149" s="379"/>
      <c r="C149" s="554" t="s">
        <v>381</v>
      </c>
      <c r="D149" s="455">
        <v>45276</v>
      </c>
      <c r="E149" s="428" t="s">
        <v>50</v>
      </c>
      <c r="F149" s="520"/>
      <c r="G149" s="83">
        <v>45154</v>
      </c>
      <c r="H149" s="457"/>
      <c r="I149" s="338" t="s">
        <v>379</v>
      </c>
      <c r="J149" s="335" t="s">
        <v>375</v>
      </c>
      <c r="K149" s="443">
        <v>1</v>
      </c>
      <c r="L149" s="458"/>
      <c r="M149" s="137">
        <f t="shared" si="27"/>
        <v>1</v>
      </c>
      <c r="N149" s="433"/>
      <c r="O149" s="438"/>
      <c r="P149" s="87">
        <f t="shared" si="28"/>
        <v>1</v>
      </c>
    </row>
    <row r="150" spans="1:16" s="9" customFormat="1" ht="33" customHeight="1" x14ac:dyDescent="0.25">
      <c r="A150" s="89"/>
      <c r="B150" s="379"/>
      <c r="C150" s="554" t="s">
        <v>726</v>
      </c>
      <c r="D150" s="455">
        <v>45495</v>
      </c>
      <c r="E150" s="428" t="s">
        <v>50</v>
      </c>
      <c r="F150" s="520"/>
      <c r="G150" s="83">
        <v>45313</v>
      </c>
      <c r="H150" s="457"/>
      <c r="I150" s="338" t="s">
        <v>724</v>
      </c>
      <c r="J150" s="335" t="s">
        <v>725</v>
      </c>
      <c r="K150" s="513">
        <v>1</v>
      </c>
      <c r="L150" s="458"/>
      <c r="M150" s="137">
        <f t="shared" ref="M150" si="29">K150</f>
        <v>1</v>
      </c>
      <c r="N150" s="433"/>
      <c r="O150" s="438"/>
      <c r="P150" s="87">
        <f t="shared" ref="P150" si="30">M150-N150</f>
        <v>1</v>
      </c>
    </row>
    <row r="151" spans="1:16" s="9" customFormat="1" ht="32.25" customHeight="1" x14ac:dyDescent="0.25">
      <c r="A151" s="89"/>
      <c r="B151" s="379"/>
      <c r="C151" s="514"/>
      <c r="D151" s="455">
        <v>44941</v>
      </c>
      <c r="E151" s="428" t="s">
        <v>50</v>
      </c>
      <c r="F151" s="456"/>
      <c r="G151" s="83">
        <v>44921</v>
      </c>
      <c r="H151" s="457"/>
      <c r="I151" s="338" t="s">
        <v>160</v>
      </c>
      <c r="J151" s="335" t="s">
        <v>159</v>
      </c>
      <c r="K151" s="443">
        <v>1</v>
      </c>
      <c r="L151" s="458"/>
      <c r="M151" s="137">
        <f>K151</f>
        <v>1</v>
      </c>
      <c r="N151" s="433"/>
      <c r="O151" s="438"/>
      <c r="P151" s="87">
        <f>M151-N151</f>
        <v>1</v>
      </c>
    </row>
    <row r="152" spans="1:16" s="9" customFormat="1" ht="36.75" customHeight="1" x14ac:dyDescent="0.25">
      <c r="A152" s="89"/>
      <c r="B152" s="379"/>
      <c r="C152" s="509"/>
      <c r="D152" s="455" t="s">
        <v>216</v>
      </c>
      <c r="E152" s="428" t="s">
        <v>50</v>
      </c>
      <c r="F152" s="571" t="s">
        <v>493</v>
      </c>
      <c r="G152" s="83">
        <v>44994</v>
      </c>
      <c r="H152" s="457"/>
      <c r="I152" s="338" t="s">
        <v>217</v>
      </c>
      <c r="J152" s="335" t="s">
        <v>218</v>
      </c>
      <c r="K152" s="443">
        <f>24-2-4</f>
        <v>18</v>
      </c>
      <c r="L152" s="458"/>
      <c r="M152" s="137">
        <f>K152</f>
        <v>18</v>
      </c>
      <c r="N152" s="433"/>
      <c r="O152" s="438"/>
      <c r="P152" s="87">
        <f>M152-N152</f>
        <v>18</v>
      </c>
    </row>
    <row r="153" spans="1:16" s="9" customFormat="1" ht="26.4" x14ac:dyDescent="0.25">
      <c r="A153" s="89"/>
      <c r="B153" s="379"/>
      <c r="C153" s="813"/>
      <c r="D153" s="455"/>
      <c r="E153" s="428" t="s">
        <v>50</v>
      </c>
      <c r="F153" s="456"/>
      <c r="G153" s="83">
        <v>44922</v>
      </c>
      <c r="H153" s="457"/>
      <c r="I153" s="338" t="s">
        <v>164</v>
      </c>
      <c r="J153" s="335" t="s">
        <v>161</v>
      </c>
      <c r="K153" s="443">
        <v>1</v>
      </c>
      <c r="L153" s="458">
        <v>1</v>
      </c>
      <c r="M153" s="137">
        <f t="shared" si="27"/>
        <v>1</v>
      </c>
      <c r="N153" s="433"/>
      <c r="O153" s="438"/>
      <c r="P153" s="87">
        <f t="shared" si="28"/>
        <v>1</v>
      </c>
    </row>
    <row r="154" spans="1:16" s="9" customFormat="1" ht="26.4" x14ac:dyDescent="0.25">
      <c r="A154" s="89"/>
      <c r="B154" s="379"/>
      <c r="C154" s="813"/>
      <c r="D154" s="455"/>
      <c r="E154" s="428" t="s">
        <v>50</v>
      </c>
      <c r="F154" s="456"/>
      <c r="G154" s="83">
        <v>44922</v>
      </c>
      <c r="H154" s="457"/>
      <c r="I154" s="338" t="s">
        <v>165</v>
      </c>
      <c r="J154" s="335" t="s">
        <v>162</v>
      </c>
      <c r="K154" s="443">
        <v>1</v>
      </c>
      <c r="L154" s="458">
        <v>1</v>
      </c>
      <c r="M154" s="137">
        <f t="shared" si="27"/>
        <v>1</v>
      </c>
      <c r="N154" s="433"/>
      <c r="O154" s="438"/>
      <c r="P154" s="87">
        <f t="shared" si="28"/>
        <v>1</v>
      </c>
    </row>
    <row r="155" spans="1:16" s="9" customFormat="1" ht="23.25" customHeight="1" x14ac:dyDescent="0.25">
      <c r="A155" s="89"/>
      <c r="B155" s="379"/>
      <c r="C155" s="813"/>
      <c r="D155" s="455"/>
      <c r="E155" s="428" t="s">
        <v>50</v>
      </c>
      <c r="F155" s="456"/>
      <c r="G155" s="83">
        <v>44922</v>
      </c>
      <c r="H155" s="457"/>
      <c r="I155" s="338" t="s">
        <v>166</v>
      </c>
      <c r="J155" s="335" t="s">
        <v>163</v>
      </c>
      <c r="K155" s="443">
        <v>1</v>
      </c>
      <c r="L155" s="458">
        <v>1</v>
      </c>
      <c r="M155" s="137">
        <f t="shared" si="27"/>
        <v>1</v>
      </c>
      <c r="N155" s="433"/>
      <c r="O155" s="438"/>
      <c r="P155" s="87">
        <f t="shared" si="28"/>
        <v>1</v>
      </c>
    </row>
    <row r="156" spans="1:16" s="9" customFormat="1" ht="18" customHeight="1" x14ac:dyDescent="0.25">
      <c r="A156" s="89"/>
      <c r="B156" s="379"/>
      <c r="C156" s="813"/>
      <c r="D156" s="455"/>
      <c r="E156" s="428" t="s">
        <v>50</v>
      </c>
      <c r="F156" s="456"/>
      <c r="G156" s="83">
        <v>44922</v>
      </c>
      <c r="H156" s="457"/>
      <c r="I156" s="338" t="s">
        <v>175</v>
      </c>
      <c r="J156" s="335" t="s">
        <v>167</v>
      </c>
      <c r="K156" s="443">
        <v>1</v>
      </c>
      <c r="L156" s="458">
        <v>4</v>
      </c>
      <c r="M156" s="137">
        <f t="shared" si="27"/>
        <v>1</v>
      </c>
      <c r="N156" s="433"/>
      <c r="O156" s="438"/>
      <c r="P156" s="87">
        <f t="shared" si="28"/>
        <v>1</v>
      </c>
    </row>
    <row r="157" spans="1:16" s="9" customFormat="1" ht="32.25" customHeight="1" x14ac:dyDescent="0.25">
      <c r="A157" s="89"/>
      <c r="B157" s="379"/>
      <c r="C157" s="813"/>
      <c r="D157" s="455"/>
      <c r="E157" s="428" t="s">
        <v>50</v>
      </c>
      <c r="F157" s="456"/>
      <c r="G157" s="83">
        <v>44922</v>
      </c>
      <c r="H157" s="457"/>
      <c r="I157" s="338" t="s">
        <v>176</v>
      </c>
      <c r="J157" s="335" t="s">
        <v>169</v>
      </c>
      <c r="K157" s="443">
        <v>1</v>
      </c>
      <c r="L157" s="458">
        <v>8</v>
      </c>
      <c r="M157" s="137">
        <f t="shared" si="27"/>
        <v>1</v>
      </c>
      <c r="N157" s="433"/>
      <c r="O157" s="438"/>
      <c r="P157" s="87">
        <f t="shared" si="28"/>
        <v>1</v>
      </c>
    </row>
    <row r="158" spans="1:16" s="9" customFormat="1" ht="25.5" customHeight="1" x14ac:dyDescent="0.25">
      <c r="A158" s="89"/>
      <c r="B158" s="379"/>
      <c r="C158" s="813"/>
      <c r="D158" s="455"/>
      <c r="E158" s="428" t="s">
        <v>50</v>
      </c>
      <c r="F158" s="456"/>
      <c r="G158" s="83">
        <v>44922</v>
      </c>
      <c r="H158" s="457"/>
      <c r="I158" s="338" t="s">
        <v>177</v>
      </c>
      <c r="J158" s="335" t="s">
        <v>170</v>
      </c>
      <c r="K158" s="443">
        <v>1</v>
      </c>
      <c r="L158" s="458">
        <v>9</v>
      </c>
      <c r="M158" s="137">
        <f t="shared" si="27"/>
        <v>1</v>
      </c>
      <c r="N158" s="433"/>
      <c r="O158" s="438"/>
      <c r="P158" s="87">
        <f t="shared" si="28"/>
        <v>1</v>
      </c>
    </row>
    <row r="159" spans="1:16" s="9" customFormat="1" ht="25.5" customHeight="1" x14ac:dyDescent="0.25">
      <c r="A159" s="89"/>
      <c r="B159" s="379"/>
      <c r="C159" s="813"/>
      <c r="D159" s="455"/>
      <c r="E159" s="428" t="s">
        <v>50</v>
      </c>
      <c r="G159" s="83">
        <v>44922</v>
      </c>
      <c r="H159" s="457"/>
      <c r="I159" s="338" t="s">
        <v>178</v>
      </c>
      <c r="J159" s="335" t="s">
        <v>171</v>
      </c>
      <c r="K159" s="443">
        <v>1</v>
      </c>
      <c r="L159" s="458">
        <v>11</v>
      </c>
      <c r="M159" s="137">
        <f t="shared" si="27"/>
        <v>1</v>
      </c>
      <c r="N159" s="433"/>
      <c r="O159" s="438"/>
      <c r="P159" s="87">
        <f t="shared" si="28"/>
        <v>1</v>
      </c>
    </row>
    <row r="160" spans="1:16" s="9" customFormat="1" ht="24.75" customHeight="1" x14ac:dyDescent="0.25">
      <c r="A160" s="89"/>
      <c r="B160" s="379"/>
      <c r="C160" s="813"/>
      <c r="D160" s="455"/>
      <c r="E160" s="428" t="s">
        <v>50</v>
      </c>
      <c r="F160" s="456"/>
      <c r="G160" s="83">
        <v>44922</v>
      </c>
      <c r="H160" s="457"/>
      <c r="I160" s="338" t="s">
        <v>179</v>
      </c>
      <c r="J160" s="335" t="s">
        <v>173</v>
      </c>
      <c r="K160" s="443">
        <v>1</v>
      </c>
      <c r="L160" s="458">
        <v>12</v>
      </c>
      <c r="M160" s="137">
        <f t="shared" si="27"/>
        <v>1</v>
      </c>
      <c r="N160" s="433"/>
      <c r="O160" s="438"/>
      <c r="P160" s="87">
        <f t="shared" si="28"/>
        <v>1</v>
      </c>
    </row>
    <row r="161" spans="1:16" s="9" customFormat="1" ht="29.25" customHeight="1" x14ac:dyDescent="0.25">
      <c r="A161" s="89"/>
      <c r="B161" s="379"/>
      <c r="C161" s="813"/>
      <c r="D161" s="455"/>
      <c r="E161" s="428" t="s">
        <v>50</v>
      </c>
      <c r="F161" s="456"/>
      <c r="G161" s="83">
        <v>44922</v>
      </c>
      <c r="H161" s="457"/>
      <c r="I161" s="338" t="s">
        <v>180</v>
      </c>
      <c r="J161" s="335" t="s">
        <v>172</v>
      </c>
      <c r="K161" s="443">
        <v>1</v>
      </c>
      <c r="L161" s="458">
        <v>13</v>
      </c>
      <c r="M161" s="137">
        <f t="shared" si="27"/>
        <v>1</v>
      </c>
      <c r="N161" s="433"/>
      <c r="O161" s="438"/>
      <c r="P161" s="87">
        <f t="shared" si="28"/>
        <v>1</v>
      </c>
    </row>
    <row r="162" spans="1:16" s="9" customFormat="1" ht="15.75" customHeight="1" x14ac:dyDescent="0.25">
      <c r="A162" s="89"/>
      <c r="B162" s="379"/>
      <c r="C162" s="813"/>
      <c r="D162" s="455"/>
      <c r="E162" s="428" t="s">
        <v>50</v>
      </c>
      <c r="F162" s="456"/>
      <c r="G162" s="83">
        <v>44922</v>
      </c>
      <c r="H162" s="457"/>
      <c r="I162" s="338" t="s">
        <v>181</v>
      </c>
      <c r="J162" s="335" t="s">
        <v>174</v>
      </c>
      <c r="K162" s="443">
        <v>1</v>
      </c>
      <c r="L162" s="458">
        <v>16</v>
      </c>
      <c r="M162" s="137">
        <f t="shared" si="27"/>
        <v>1</v>
      </c>
      <c r="N162" s="433"/>
      <c r="O162" s="438"/>
      <c r="P162" s="87">
        <f t="shared" si="28"/>
        <v>1</v>
      </c>
    </row>
    <row r="163" spans="1:16" s="9" customFormat="1" ht="32.25" customHeight="1" x14ac:dyDescent="0.25">
      <c r="A163" s="89"/>
      <c r="B163" s="379"/>
      <c r="C163" s="813"/>
      <c r="D163" s="455"/>
      <c r="E163" s="428" t="s">
        <v>50</v>
      </c>
      <c r="F163" s="456"/>
      <c r="G163" s="83">
        <v>44922</v>
      </c>
      <c r="H163" s="457"/>
      <c r="I163" s="338" t="s">
        <v>183</v>
      </c>
      <c r="J163" s="335" t="s">
        <v>187</v>
      </c>
      <c r="K163" s="443">
        <v>1</v>
      </c>
      <c r="L163" s="458">
        <v>17</v>
      </c>
      <c r="M163" s="137">
        <f t="shared" si="27"/>
        <v>1</v>
      </c>
      <c r="N163" s="433"/>
      <c r="O163" s="438"/>
      <c r="P163" s="87">
        <f t="shared" si="28"/>
        <v>1</v>
      </c>
    </row>
    <row r="164" spans="1:16" s="9" customFormat="1" ht="32.25" customHeight="1" x14ac:dyDescent="0.25">
      <c r="A164" s="89"/>
      <c r="B164" s="379"/>
      <c r="C164" s="813"/>
      <c r="D164" s="455"/>
      <c r="E164" s="428" t="s">
        <v>50</v>
      </c>
      <c r="F164" s="456"/>
      <c r="G164" s="83">
        <v>44922</v>
      </c>
      <c r="H164" s="457"/>
      <c r="I164" s="338" t="s">
        <v>182</v>
      </c>
      <c r="J164" s="335" t="s">
        <v>186</v>
      </c>
      <c r="K164" s="443">
        <v>1</v>
      </c>
      <c r="L164" s="458">
        <v>18</v>
      </c>
      <c r="M164" s="137">
        <f t="shared" si="27"/>
        <v>1</v>
      </c>
      <c r="N164" s="433"/>
      <c r="O164" s="438"/>
      <c r="P164" s="87">
        <f t="shared" si="28"/>
        <v>1</v>
      </c>
    </row>
    <row r="165" spans="1:16" s="9" customFormat="1" ht="32.25" customHeight="1" x14ac:dyDescent="0.25">
      <c r="A165" s="89"/>
      <c r="B165" s="379"/>
      <c r="C165" s="813"/>
      <c r="D165" s="455"/>
      <c r="E165" s="428" t="s">
        <v>50</v>
      </c>
      <c r="F165" s="456"/>
      <c r="G165" s="83">
        <v>44922</v>
      </c>
      <c r="H165" s="457"/>
      <c r="I165" s="338" t="s">
        <v>184</v>
      </c>
      <c r="J165" s="335" t="s">
        <v>185</v>
      </c>
      <c r="K165" s="443">
        <v>1</v>
      </c>
      <c r="L165" s="458"/>
      <c r="M165" s="137">
        <f t="shared" si="27"/>
        <v>1</v>
      </c>
      <c r="N165" s="433"/>
      <c r="O165" s="438"/>
      <c r="P165" s="87">
        <f t="shared" si="28"/>
        <v>1</v>
      </c>
    </row>
    <row r="166" spans="1:16" s="9" customFormat="1" ht="42" customHeight="1" x14ac:dyDescent="0.25">
      <c r="A166" s="89"/>
      <c r="B166" s="379"/>
      <c r="C166" s="813"/>
      <c r="D166" s="455"/>
      <c r="E166" s="428" t="s">
        <v>50</v>
      </c>
      <c r="F166" s="456"/>
      <c r="G166" s="83">
        <v>44922</v>
      </c>
      <c r="H166" s="457"/>
      <c r="I166" s="338" t="s">
        <v>188</v>
      </c>
      <c r="J166" s="335" t="s">
        <v>195</v>
      </c>
      <c r="K166" s="443">
        <v>1</v>
      </c>
      <c r="L166" s="458"/>
      <c r="M166" s="137">
        <f t="shared" si="27"/>
        <v>1</v>
      </c>
      <c r="N166" s="433"/>
      <c r="O166" s="438"/>
      <c r="P166" s="87">
        <f t="shared" si="28"/>
        <v>1</v>
      </c>
    </row>
    <row r="167" spans="1:16" s="9" customFormat="1" ht="32.25" customHeight="1" x14ac:dyDescent="0.25">
      <c r="A167" s="89"/>
      <c r="B167" s="379"/>
      <c r="C167" s="813"/>
      <c r="D167" s="455"/>
      <c r="E167" s="428" t="s">
        <v>50</v>
      </c>
      <c r="F167" s="456"/>
      <c r="G167" s="83">
        <v>44922</v>
      </c>
      <c r="H167" s="457"/>
      <c r="I167" s="338" t="s">
        <v>189</v>
      </c>
      <c r="J167" s="335" t="s">
        <v>196</v>
      </c>
      <c r="K167" s="443">
        <v>1</v>
      </c>
      <c r="L167" s="458"/>
      <c r="M167" s="137">
        <f t="shared" si="27"/>
        <v>1</v>
      </c>
      <c r="N167" s="433"/>
      <c r="O167" s="438"/>
      <c r="P167" s="87">
        <f t="shared" si="28"/>
        <v>1</v>
      </c>
    </row>
    <row r="168" spans="1:16" s="9" customFormat="1" ht="32.25" customHeight="1" x14ac:dyDescent="0.25">
      <c r="A168" s="89"/>
      <c r="B168" s="379"/>
      <c r="C168" s="813"/>
      <c r="D168" s="455"/>
      <c r="E168" s="428" t="s">
        <v>50</v>
      </c>
      <c r="F168" s="456"/>
      <c r="G168" s="83">
        <v>44922</v>
      </c>
      <c r="H168" s="457"/>
      <c r="I168" s="338" t="s">
        <v>190</v>
      </c>
      <c r="J168" s="335" t="s">
        <v>197</v>
      </c>
      <c r="K168" s="443">
        <v>1</v>
      </c>
      <c r="L168" s="458"/>
      <c r="M168" s="137">
        <f t="shared" si="27"/>
        <v>1</v>
      </c>
      <c r="N168" s="433"/>
      <c r="O168" s="438"/>
      <c r="P168" s="87">
        <f t="shared" si="28"/>
        <v>1</v>
      </c>
    </row>
    <row r="169" spans="1:16" s="9" customFormat="1" ht="32.25" customHeight="1" x14ac:dyDescent="0.25">
      <c r="A169" s="89"/>
      <c r="B169" s="379"/>
      <c r="C169" s="813"/>
      <c r="D169" s="455"/>
      <c r="E169" s="428" t="s">
        <v>50</v>
      </c>
      <c r="F169" s="456"/>
      <c r="G169" s="83">
        <v>44922</v>
      </c>
      <c r="H169" s="457"/>
      <c r="I169" s="338" t="s">
        <v>191</v>
      </c>
      <c r="J169" s="335" t="s">
        <v>198</v>
      </c>
      <c r="K169" s="443">
        <v>1</v>
      </c>
      <c r="L169" s="458"/>
      <c r="M169" s="137">
        <f t="shared" si="27"/>
        <v>1</v>
      </c>
      <c r="N169" s="433"/>
      <c r="O169" s="438"/>
      <c r="P169" s="87">
        <f t="shared" si="28"/>
        <v>1</v>
      </c>
    </row>
    <row r="170" spans="1:16" s="9" customFormat="1" ht="32.25" customHeight="1" x14ac:dyDescent="0.25">
      <c r="A170" s="89"/>
      <c r="B170" s="379"/>
      <c r="C170" s="813"/>
      <c r="D170" s="455"/>
      <c r="E170" s="428" t="s">
        <v>50</v>
      </c>
      <c r="F170" s="456"/>
      <c r="G170" s="83">
        <v>44922</v>
      </c>
      <c r="H170" s="457"/>
      <c r="I170" s="338" t="s">
        <v>192</v>
      </c>
      <c r="J170" s="335" t="s">
        <v>199</v>
      </c>
      <c r="K170" s="443">
        <v>1</v>
      </c>
      <c r="L170" s="458"/>
      <c r="M170" s="137">
        <f t="shared" si="27"/>
        <v>1</v>
      </c>
      <c r="N170" s="433"/>
      <c r="O170" s="438"/>
      <c r="P170" s="87">
        <f t="shared" si="28"/>
        <v>1</v>
      </c>
    </row>
    <row r="171" spans="1:16" s="9" customFormat="1" ht="32.25" customHeight="1" x14ac:dyDescent="0.25">
      <c r="A171" s="89"/>
      <c r="B171" s="379"/>
      <c r="C171" s="813"/>
      <c r="D171" s="455"/>
      <c r="E171" s="428" t="s">
        <v>50</v>
      </c>
      <c r="F171" s="456"/>
      <c r="G171" s="83">
        <v>44922</v>
      </c>
      <c r="H171" s="457"/>
      <c r="I171" s="338" t="s">
        <v>193</v>
      </c>
      <c r="J171" s="335" t="s">
        <v>200</v>
      </c>
      <c r="K171" s="443">
        <v>1</v>
      </c>
      <c r="L171" s="458"/>
      <c r="M171" s="137">
        <f t="shared" si="27"/>
        <v>1</v>
      </c>
      <c r="N171" s="433"/>
      <c r="O171" s="438"/>
      <c r="P171" s="87">
        <f t="shared" si="28"/>
        <v>1</v>
      </c>
    </row>
    <row r="172" spans="1:16" s="9" customFormat="1" ht="32.25" customHeight="1" x14ac:dyDescent="0.25">
      <c r="A172" s="89"/>
      <c r="B172" s="379"/>
      <c r="C172" s="813"/>
      <c r="D172" s="455"/>
      <c r="E172" s="428" t="s">
        <v>50</v>
      </c>
      <c r="F172" s="456"/>
      <c r="G172" s="83">
        <v>44922</v>
      </c>
      <c r="H172" s="457"/>
      <c r="I172" s="338" t="s">
        <v>194</v>
      </c>
      <c r="J172" s="335" t="s">
        <v>201</v>
      </c>
      <c r="K172" s="443">
        <v>1</v>
      </c>
      <c r="L172" s="458"/>
      <c r="M172" s="137">
        <f t="shared" si="27"/>
        <v>1</v>
      </c>
      <c r="N172" s="433"/>
      <c r="O172" s="438"/>
      <c r="P172" s="87">
        <f t="shared" si="28"/>
        <v>1</v>
      </c>
    </row>
    <row r="173" spans="1:16" s="9" customFormat="1" ht="32.25" customHeight="1" x14ac:dyDescent="0.25">
      <c r="A173" s="89"/>
      <c r="B173" s="379"/>
      <c r="C173" s="510" t="s">
        <v>428</v>
      </c>
      <c r="D173" s="455">
        <v>45317</v>
      </c>
      <c r="E173" s="428" t="s">
        <v>50</v>
      </c>
      <c r="F173" s="456"/>
      <c r="G173" s="83">
        <v>45196</v>
      </c>
      <c r="H173" s="457"/>
      <c r="I173" s="338" t="s">
        <v>429</v>
      </c>
      <c r="J173" s="335" t="s">
        <v>270</v>
      </c>
      <c r="K173" s="443">
        <v>1</v>
      </c>
      <c r="L173" s="458"/>
      <c r="M173" s="137">
        <f t="shared" si="27"/>
        <v>1</v>
      </c>
      <c r="N173" s="433"/>
      <c r="O173" s="438"/>
      <c r="P173" s="87">
        <f t="shared" si="28"/>
        <v>1</v>
      </c>
    </row>
    <row r="174" spans="1:16" s="9" customFormat="1" ht="38.25" customHeight="1" x14ac:dyDescent="0.25">
      <c r="A174" s="89"/>
      <c r="B174" s="379"/>
      <c r="C174" s="810" t="s">
        <v>430</v>
      </c>
      <c r="D174" s="455">
        <v>45317</v>
      </c>
      <c r="E174" s="428" t="s">
        <v>50</v>
      </c>
      <c r="F174" s="456"/>
      <c r="G174" s="83">
        <v>45195</v>
      </c>
      <c r="H174" s="457"/>
      <c r="I174" s="338" t="s">
        <v>441</v>
      </c>
      <c r="J174" s="335" t="s">
        <v>395</v>
      </c>
      <c r="K174" s="513">
        <v>1</v>
      </c>
      <c r="L174" s="458"/>
      <c r="M174" s="137">
        <f t="shared" si="27"/>
        <v>1</v>
      </c>
      <c r="N174" s="433"/>
      <c r="O174" s="438"/>
      <c r="P174" s="87">
        <f t="shared" si="28"/>
        <v>1</v>
      </c>
    </row>
    <row r="175" spans="1:16" s="9" customFormat="1" ht="32.25" customHeight="1" x14ac:dyDescent="0.25">
      <c r="A175" s="89"/>
      <c r="B175" s="379"/>
      <c r="C175" s="813"/>
      <c r="D175" s="455">
        <v>45285</v>
      </c>
      <c r="E175" s="428" t="s">
        <v>50</v>
      </c>
      <c r="F175" s="456"/>
      <c r="G175" s="83">
        <v>45195</v>
      </c>
      <c r="H175" s="457"/>
      <c r="I175" s="338" t="s">
        <v>447</v>
      </c>
      <c r="J175" s="335" t="s">
        <v>396</v>
      </c>
      <c r="K175" s="513">
        <v>1</v>
      </c>
      <c r="L175" s="458"/>
      <c r="M175" s="137">
        <f t="shared" si="27"/>
        <v>1</v>
      </c>
      <c r="N175" s="433"/>
      <c r="O175" s="438"/>
      <c r="P175" s="87">
        <f t="shared" si="28"/>
        <v>1</v>
      </c>
    </row>
    <row r="176" spans="1:16" s="9" customFormat="1" ht="32.25" customHeight="1" x14ac:dyDescent="0.25">
      <c r="A176" s="89"/>
      <c r="B176" s="379"/>
      <c r="C176" s="813"/>
      <c r="D176" s="455">
        <v>45285</v>
      </c>
      <c r="E176" s="428" t="s">
        <v>50</v>
      </c>
      <c r="F176" s="456"/>
      <c r="G176" s="83">
        <v>45195</v>
      </c>
      <c r="H176" s="457"/>
      <c r="I176" s="338" t="s">
        <v>448</v>
      </c>
      <c r="J176" s="335" t="s">
        <v>124</v>
      </c>
      <c r="K176" s="513">
        <v>2</v>
      </c>
      <c r="L176" s="458"/>
      <c r="M176" s="137">
        <f t="shared" si="27"/>
        <v>2</v>
      </c>
      <c r="N176" s="433"/>
      <c r="O176" s="438"/>
      <c r="P176" s="87">
        <f t="shared" si="28"/>
        <v>2</v>
      </c>
    </row>
    <row r="177" spans="1:16" s="9" customFormat="1" ht="37.5" customHeight="1" x14ac:dyDescent="0.25">
      <c r="A177" s="89"/>
      <c r="B177" s="379"/>
      <c r="C177" s="813"/>
      <c r="D177" s="455">
        <v>45317</v>
      </c>
      <c r="E177" s="428" t="s">
        <v>50</v>
      </c>
      <c r="F177" s="456"/>
      <c r="G177" s="83">
        <v>45195</v>
      </c>
      <c r="H177" s="457"/>
      <c r="I177" s="338" t="s">
        <v>442</v>
      </c>
      <c r="J177" s="335" t="s">
        <v>431</v>
      </c>
      <c r="K177" s="513">
        <v>2</v>
      </c>
      <c r="L177" s="458"/>
      <c r="M177" s="137">
        <f t="shared" si="27"/>
        <v>2</v>
      </c>
      <c r="N177" s="433"/>
      <c r="O177" s="438"/>
      <c r="P177" s="87">
        <f t="shared" si="28"/>
        <v>2</v>
      </c>
    </row>
    <row r="178" spans="1:16" s="9" customFormat="1" ht="36.75" customHeight="1" x14ac:dyDescent="0.25">
      <c r="A178" s="89"/>
      <c r="B178" s="379"/>
      <c r="C178" s="813"/>
      <c r="D178" s="455">
        <v>45285</v>
      </c>
      <c r="E178" s="428" t="s">
        <v>50</v>
      </c>
      <c r="F178" s="456"/>
      <c r="G178" s="83">
        <v>45195</v>
      </c>
      <c r="H178" s="457"/>
      <c r="I178" s="338" t="s">
        <v>449</v>
      </c>
      <c r="J178" s="335" t="s">
        <v>432</v>
      </c>
      <c r="K178" s="513">
        <v>1</v>
      </c>
      <c r="L178" s="458"/>
      <c r="M178" s="137">
        <f t="shared" si="27"/>
        <v>1</v>
      </c>
      <c r="N178" s="433"/>
      <c r="O178" s="438"/>
      <c r="P178" s="87">
        <f t="shared" si="28"/>
        <v>1</v>
      </c>
    </row>
    <row r="179" spans="1:16" s="9" customFormat="1" ht="32.25" customHeight="1" x14ac:dyDescent="0.25">
      <c r="A179" s="89"/>
      <c r="B179" s="379"/>
      <c r="C179" s="813"/>
      <c r="D179" s="455">
        <v>45317</v>
      </c>
      <c r="E179" s="428" t="s">
        <v>50</v>
      </c>
      <c r="F179" s="456"/>
      <c r="G179" s="83">
        <v>45195</v>
      </c>
      <c r="H179" s="457"/>
      <c r="I179" s="338" t="s">
        <v>443</v>
      </c>
      <c r="J179" s="335" t="s">
        <v>433</v>
      </c>
      <c r="K179" s="513">
        <v>2</v>
      </c>
      <c r="L179" s="458"/>
      <c r="M179" s="137">
        <f t="shared" si="27"/>
        <v>2</v>
      </c>
      <c r="N179" s="433"/>
      <c r="O179" s="438"/>
      <c r="P179" s="87">
        <f t="shared" si="28"/>
        <v>2</v>
      </c>
    </row>
    <row r="180" spans="1:16" s="9" customFormat="1" ht="32.25" customHeight="1" x14ac:dyDescent="0.25">
      <c r="A180" s="89"/>
      <c r="B180" s="379"/>
      <c r="C180" s="813"/>
      <c r="D180" s="455">
        <v>45317</v>
      </c>
      <c r="E180" s="428" t="s">
        <v>50</v>
      </c>
      <c r="F180" s="456"/>
      <c r="G180" s="83">
        <v>45195</v>
      </c>
      <c r="H180" s="457"/>
      <c r="I180" s="338" t="s">
        <v>444</v>
      </c>
      <c r="J180" s="335" t="s">
        <v>434</v>
      </c>
      <c r="K180" s="513">
        <v>1</v>
      </c>
      <c r="L180" s="458"/>
      <c r="M180" s="137">
        <f t="shared" si="27"/>
        <v>1</v>
      </c>
      <c r="N180" s="433"/>
      <c r="O180" s="438"/>
      <c r="P180" s="87">
        <f t="shared" si="28"/>
        <v>1</v>
      </c>
    </row>
    <row r="181" spans="1:16" s="9" customFormat="1" ht="32.25" customHeight="1" x14ac:dyDescent="0.25">
      <c r="A181" s="89"/>
      <c r="B181" s="379"/>
      <c r="C181" s="813"/>
      <c r="D181" s="455">
        <v>45317</v>
      </c>
      <c r="E181" s="428" t="s">
        <v>50</v>
      </c>
      <c r="F181" s="633" t="s">
        <v>735</v>
      </c>
      <c r="G181" s="83">
        <v>45195</v>
      </c>
      <c r="H181" s="457"/>
      <c r="I181" s="338" t="s">
        <v>445</v>
      </c>
      <c r="J181" s="335" t="s">
        <v>435</v>
      </c>
      <c r="K181" s="513">
        <v>3</v>
      </c>
      <c r="L181" s="458"/>
      <c r="M181" s="137">
        <f t="shared" si="27"/>
        <v>3</v>
      </c>
      <c r="N181" s="433"/>
      <c r="O181" s="438"/>
      <c r="P181" s="87">
        <f t="shared" si="28"/>
        <v>3</v>
      </c>
    </row>
    <row r="182" spans="1:16" s="9" customFormat="1" ht="32.25" customHeight="1" x14ac:dyDescent="0.25">
      <c r="A182" s="89"/>
      <c r="B182" s="379"/>
      <c r="C182" s="813"/>
      <c r="D182" s="455">
        <v>45317</v>
      </c>
      <c r="E182" s="428" t="s">
        <v>50</v>
      </c>
      <c r="F182" s="456"/>
      <c r="G182" s="83">
        <v>45195</v>
      </c>
      <c r="H182" s="457"/>
      <c r="I182" s="338" t="s">
        <v>446</v>
      </c>
      <c r="J182" s="335" t="s">
        <v>436</v>
      </c>
      <c r="K182" s="513">
        <v>2</v>
      </c>
      <c r="L182" s="458"/>
      <c r="M182" s="137">
        <f t="shared" si="27"/>
        <v>2</v>
      </c>
      <c r="N182" s="433"/>
      <c r="O182" s="438"/>
      <c r="P182" s="87">
        <f t="shared" si="28"/>
        <v>2</v>
      </c>
    </row>
    <row r="183" spans="1:16" s="9" customFormat="1" ht="32.25" customHeight="1" x14ac:dyDescent="0.25">
      <c r="A183" s="89"/>
      <c r="B183" s="379"/>
      <c r="C183" s="813"/>
      <c r="D183" s="455">
        <v>45285</v>
      </c>
      <c r="E183" s="428" t="s">
        <v>50</v>
      </c>
      <c r="F183" s="456"/>
      <c r="G183" s="83">
        <v>45195</v>
      </c>
      <c r="H183" s="457"/>
      <c r="I183" s="338" t="s">
        <v>450</v>
      </c>
      <c r="J183" s="335" t="s">
        <v>437</v>
      </c>
      <c r="K183" s="513">
        <v>1</v>
      </c>
      <c r="L183" s="458"/>
      <c r="M183" s="137">
        <f t="shared" si="27"/>
        <v>1</v>
      </c>
      <c r="N183" s="433"/>
      <c r="O183" s="438"/>
      <c r="P183" s="87">
        <f t="shared" si="28"/>
        <v>1</v>
      </c>
    </row>
    <row r="184" spans="1:16" s="9" customFormat="1" ht="32.25" customHeight="1" x14ac:dyDescent="0.25">
      <c r="A184" s="89"/>
      <c r="B184" s="379"/>
      <c r="C184" s="813"/>
      <c r="D184" s="455">
        <v>45285</v>
      </c>
      <c r="E184" s="428" t="s">
        <v>50</v>
      </c>
      <c r="F184" s="456"/>
      <c r="G184" s="83">
        <v>45195</v>
      </c>
      <c r="H184" s="457"/>
      <c r="I184" s="338" t="s">
        <v>451</v>
      </c>
      <c r="J184" s="335" t="s">
        <v>438</v>
      </c>
      <c r="K184" s="513">
        <v>1</v>
      </c>
      <c r="L184" s="458"/>
      <c r="M184" s="137">
        <f t="shared" si="27"/>
        <v>1</v>
      </c>
      <c r="N184" s="433"/>
      <c r="O184" s="438"/>
      <c r="P184" s="87">
        <f t="shared" si="28"/>
        <v>1</v>
      </c>
    </row>
    <row r="185" spans="1:16" s="9" customFormat="1" ht="32.25" customHeight="1" x14ac:dyDescent="0.25">
      <c r="A185" s="89"/>
      <c r="B185" s="379"/>
      <c r="C185" s="813"/>
      <c r="D185" s="455">
        <v>45285</v>
      </c>
      <c r="E185" s="428" t="s">
        <v>50</v>
      </c>
      <c r="F185" s="456"/>
      <c r="G185" s="83">
        <v>45195</v>
      </c>
      <c r="H185" s="457"/>
      <c r="I185" s="338" t="s">
        <v>452</v>
      </c>
      <c r="J185" s="335" t="s">
        <v>439</v>
      </c>
      <c r="K185" s="513">
        <v>1</v>
      </c>
      <c r="L185" s="458"/>
      <c r="M185" s="137">
        <f t="shared" si="27"/>
        <v>1</v>
      </c>
      <c r="N185" s="433"/>
      <c r="O185" s="438"/>
      <c r="P185" s="87">
        <f t="shared" si="28"/>
        <v>1</v>
      </c>
    </row>
    <row r="186" spans="1:16" s="9" customFormat="1" ht="40.5" customHeight="1" x14ac:dyDescent="0.25">
      <c r="A186" s="89"/>
      <c r="B186" s="379"/>
      <c r="C186" s="811"/>
      <c r="D186" s="455">
        <v>45285</v>
      </c>
      <c r="E186" s="428" t="s">
        <v>50</v>
      </c>
      <c r="F186" s="456"/>
      <c r="G186" s="83">
        <v>45195</v>
      </c>
      <c r="H186" s="457"/>
      <c r="I186" s="338" t="s">
        <v>453</v>
      </c>
      <c r="J186" s="335" t="s">
        <v>440</v>
      </c>
      <c r="K186" s="513">
        <v>1</v>
      </c>
      <c r="L186" s="458"/>
      <c r="M186" s="137">
        <f t="shared" si="27"/>
        <v>1</v>
      </c>
      <c r="N186" s="433"/>
      <c r="O186" s="438"/>
      <c r="P186" s="87">
        <f t="shared" si="28"/>
        <v>1</v>
      </c>
    </row>
    <row r="187" spans="1:16" s="9" customFormat="1" ht="40.5" customHeight="1" x14ac:dyDescent="0.25">
      <c r="A187" s="89"/>
      <c r="B187" s="379"/>
      <c r="C187" s="810" t="s">
        <v>454</v>
      </c>
      <c r="D187" s="455">
        <v>45317</v>
      </c>
      <c r="E187" s="428" t="s">
        <v>50</v>
      </c>
      <c r="F187" s="633" t="s">
        <v>735</v>
      </c>
      <c r="G187" s="83">
        <v>45195</v>
      </c>
      <c r="H187" s="457"/>
      <c r="I187" s="338" t="s">
        <v>456</v>
      </c>
      <c r="J187" s="335" t="s">
        <v>435</v>
      </c>
      <c r="K187" s="513">
        <v>1</v>
      </c>
      <c r="L187" s="458"/>
      <c r="M187" s="137">
        <f t="shared" si="27"/>
        <v>1</v>
      </c>
      <c r="N187" s="433"/>
      <c r="O187" s="438"/>
      <c r="P187" s="87">
        <f t="shared" si="28"/>
        <v>1</v>
      </c>
    </row>
    <row r="188" spans="1:16" s="9" customFormat="1" ht="66.75" customHeight="1" x14ac:dyDescent="0.25">
      <c r="A188" s="89"/>
      <c r="B188" s="379"/>
      <c r="C188" s="811"/>
      <c r="D188" s="455">
        <v>45317</v>
      </c>
      <c r="E188" s="428" t="s">
        <v>50</v>
      </c>
      <c r="F188" s="632"/>
      <c r="G188" s="83">
        <v>45195</v>
      </c>
      <c r="H188" s="457"/>
      <c r="I188" s="338" t="s">
        <v>457</v>
      </c>
      <c r="J188" s="335" t="s">
        <v>455</v>
      </c>
      <c r="K188" s="513">
        <v>2</v>
      </c>
      <c r="L188" s="458"/>
      <c r="M188" s="137">
        <f t="shared" si="27"/>
        <v>2</v>
      </c>
      <c r="N188" s="433"/>
      <c r="O188" s="438"/>
      <c r="P188" s="87">
        <f t="shared" si="28"/>
        <v>2</v>
      </c>
    </row>
    <row r="189" spans="1:16" s="9" customFormat="1" ht="38.25" customHeight="1" x14ac:dyDescent="0.25">
      <c r="A189" s="89"/>
      <c r="B189" s="379"/>
      <c r="C189" s="810" t="s">
        <v>403</v>
      </c>
      <c r="D189" s="455">
        <v>45278</v>
      </c>
      <c r="E189" s="428" t="s">
        <v>50</v>
      </c>
      <c r="F189" s="456"/>
      <c r="G189" s="83">
        <v>45187</v>
      </c>
      <c r="H189" s="457"/>
      <c r="I189" s="338" t="s">
        <v>398</v>
      </c>
      <c r="J189" s="335" t="s">
        <v>395</v>
      </c>
      <c r="K189" s="513">
        <v>1</v>
      </c>
      <c r="L189" s="458"/>
      <c r="M189" s="137">
        <f t="shared" si="27"/>
        <v>1</v>
      </c>
      <c r="N189" s="433"/>
      <c r="O189" s="438"/>
      <c r="P189" s="87">
        <f t="shared" si="28"/>
        <v>1</v>
      </c>
    </row>
    <row r="190" spans="1:16" s="9" customFormat="1" ht="32.25" customHeight="1" x14ac:dyDescent="0.25">
      <c r="A190" s="89"/>
      <c r="B190" s="379"/>
      <c r="C190" s="813"/>
      <c r="D190" s="455">
        <v>45278</v>
      </c>
      <c r="E190" s="428" t="s">
        <v>50</v>
      </c>
      <c r="F190" s="456"/>
      <c r="G190" s="83">
        <v>45187</v>
      </c>
      <c r="H190" s="457"/>
      <c r="I190" s="338" t="s">
        <v>399</v>
      </c>
      <c r="J190" s="335" t="s">
        <v>396</v>
      </c>
      <c r="K190" s="513">
        <v>1</v>
      </c>
      <c r="L190" s="458"/>
      <c r="M190" s="137">
        <f t="shared" si="27"/>
        <v>1</v>
      </c>
      <c r="N190" s="433"/>
      <c r="O190" s="438"/>
      <c r="P190" s="87">
        <f t="shared" si="28"/>
        <v>1</v>
      </c>
    </row>
    <row r="191" spans="1:16" s="9" customFormat="1" ht="32.25" customHeight="1" x14ac:dyDescent="0.25">
      <c r="A191" s="89"/>
      <c r="B191" s="379"/>
      <c r="C191" s="813"/>
      <c r="D191" s="455">
        <v>45278</v>
      </c>
      <c r="E191" s="428" t="s">
        <v>50</v>
      </c>
      <c r="F191" s="456"/>
      <c r="G191" s="83">
        <v>45187</v>
      </c>
      <c r="H191" s="457"/>
      <c r="I191" s="338" t="s">
        <v>400</v>
      </c>
      <c r="J191" s="335" t="s">
        <v>123</v>
      </c>
      <c r="K191" s="513">
        <f>40+50</f>
        <v>90</v>
      </c>
      <c r="L191" s="458"/>
      <c r="M191" s="137">
        <f t="shared" ref="M191:M217" si="31">K191</f>
        <v>90</v>
      </c>
      <c r="N191" s="433"/>
      <c r="O191" s="438"/>
      <c r="P191" s="87">
        <f t="shared" ref="P191:P217" si="32">M191-N191</f>
        <v>90</v>
      </c>
    </row>
    <row r="192" spans="1:16" s="9" customFormat="1" ht="32.25" customHeight="1" x14ac:dyDescent="0.25">
      <c r="A192" s="89"/>
      <c r="B192" s="379"/>
      <c r="C192" s="813"/>
      <c r="D192" s="455">
        <v>45278</v>
      </c>
      <c r="E192" s="428" t="s">
        <v>50</v>
      </c>
      <c r="F192" s="456"/>
      <c r="G192" s="83">
        <v>45187</v>
      </c>
      <c r="H192" s="457"/>
      <c r="I192" s="338" t="s">
        <v>401</v>
      </c>
      <c r="J192" s="335" t="s">
        <v>124</v>
      </c>
      <c r="K192" s="513">
        <v>2</v>
      </c>
      <c r="L192" s="458"/>
      <c r="M192" s="137">
        <f t="shared" si="31"/>
        <v>2</v>
      </c>
      <c r="N192" s="433"/>
      <c r="O192" s="438"/>
      <c r="P192" s="87">
        <f t="shared" si="32"/>
        <v>2</v>
      </c>
    </row>
    <row r="193" spans="1:16" s="9" customFormat="1" ht="32.25" customHeight="1" x14ac:dyDescent="0.25">
      <c r="A193" s="89"/>
      <c r="B193" s="379"/>
      <c r="C193" s="811"/>
      <c r="D193" s="455">
        <v>45278</v>
      </c>
      <c r="E193" s="428" t="s">
        <v>50</v>
      </c>
      <c r="F193" s="456"/>
      <c r="G193" s="83">
        <v>45187</v>
      </c>
      <c r="H193" s="457"/>
      <c r="I193" s="338" t="s">
        <v>402</v>
      </c>
      <c r="J193" s="335" t="s">
        <v>397</v>
      </c>
      <c r="K193" s="513">
        <v>1</v>
      </c>
      <c r="L193" s="458"/>
      <c r="M193" s="137">
        <f t="shared" si="31"/>
        <v>1</v>
      </c>
      <c r="N193" s="433">
        <v>1</v>
      </c>
      <c r="O193" s="438"/>
      <c r="P193" s="87">
        <f t="shared" si="32"/>
        <v>0</v>
      </c>
    </row>
    <row r="194" spans="1:16" s="121" customFormat="1" ht="31.5" customHeight="1" x14ac:dyDescent="0.25">
      <c r="A194" s="78"/>
      <c r="B194" s="132"/>
      <c r="C194" s="790" t="s">
        <v>473</v>
      </c>
      <c r="D194" s="351">
        <v>44966</v>
      </c>
      <c r="E194" s="365" t="s">
        <v>50</v>
      </c>
      <c r="F194" s="93"/>
      <c r="G194" s="426">
        <v>45208</v>
      </c>
      <c r="H194" s="134"/>
      <c r="I194" s="468" t="s">
        <v>470</v>
      </c>
      <c r="J194" s="336" t="s">
        <v>130</v>
      </c>
      <c r="K194" s="513">
        <v>21</v>
      </c>
      <c r="L194" s="135"/>
      <c r="M194" s="87">
        <f t="shared" si="31"/>
        <v>21</v>
      </c>
      <c r="N194" s="130"/>
      <c r="O194" s="135"/>
      <c r="P194" s="137">
        <f t="shared" si="32"/>
        <v>21</v>
      </c>
    </row>
    <row r="195" spans="1:16" s="121" customFormat="1" ht="39.6" x14ac:dyDescent="0.25">
      <c r="A195" s="78"/>
      <c r="B195" s="132"/>
      <c r="C195" s="791"/>
      <c r="D195" s="351">
        <v>44966</v>
      </c>
      <c r="E195" s="365" t="s">
        <v>50</v>
      </c>
      <c r="F195" s="93"/>
      <c r="G195" s="426">
        <v>45208</v>
      </c>
      <c r="H195" s="134"/>
      <c r="I195" s="468" t="s">
        <v>471</v>
      </c>
      <c r="J195" s="336" t="s">
        <v>312</v>
      </c>
      <c r="K195" s="513">
        <v>21</v>
      </c>
      <c r="L195" s="135"/>
      <c r="M195" s="87">
        <f t="shared" si="31"/>
        <v>21</v>
      </c>
      <c r="N195" s="130"/>
      <c r="O195" s="135"/>
      <c r="P195" s="137">
        <f t="shared" si="32"/>
        <v>21</v>
      </c>
    </row>
    <row r="196" spans="1:16" s="121" customFormat="1" ht="39.6" x14ac:dyDescent="0.25">
      <c r="A196" s="78"/>
      <c r="B196" s="132"/>
      <c r="C196" s="792"/>
      <c r="D196" s="351">
        <v>44966</v>
      </c>
      <c r="E196" s="365" t="s">
        <v>50</v>
      </c>
      <c r="F196" s="93"/>
      <c r="G196" s="426">
        <v>45208</v>
      </c>
      <c r="H196" s="134"/>
      <c r="I196" s="468" t="s">
        <v>472</v>
      </c>
      <c r="J196" s="336" t="s">
        <v>313</v>
      </c>
      <c r="K196" s="513">
        <v>21</v>
      </c>
      <c r="L196" s="135"/>
      <c r="M196" s="87">
        <f t="shared" si="31"/>
        <v>21</v>
      </c>
      <c r="N196" s="130"/>
      <c r="O196" s="135"/>
      <c r="P196" s="137">
        <f t="shared" si="32"/>
        <v>21</v>
      </c>
    </row>
    <row r="197" spans="1:16" s="9" customFormat="1" ht="22.5" customHeight="1" x14ac:dyDescent="0.25">
      <c r="A197" s="78"/>
      <c r="B197" s="132"/>
      <c r="C197" s="489"/>
      <c r="D197" s="552">
        <v>45270</v>
      </c>
      <c r="E197" s="365" t="s">
        <v>50</v>
      </c>
      <c r="F197" s="583"/>
      <c r="G197" s="426">
        <v>45238</v>
      </c>
      <c r="H197" s="457"/>
      <c r="I197" s="468" t="s">
        <v>520</v>
      </c>
      <c r="J197" s="336" t="s">
        <v>521</v>
      </c>
      <c r="K197" s="513">
        <v>6</v>
      </c>
      <c r="L197" s="458"/>
      <c r="M197" s="137">
        <f t="shared" si="31"/>
        <v>6</v>
      </c>
      <c r="N197" s="130"/>
      <c r="O197" s="584"/>
      <c r="P197" s="137">
        <f t="shared" si="32"/>
        <v>6</v>
      </c>
    </row>
    <row r="198" spans="1:16" s="9" customFormat="1" ht="41.25" customHeight="1" x14ac:dyDescent="0.25">
      <c r="A198" s="78"/>
      <c r="B198" s="132"/>
      <c r="C198" s="471" t="s">
        <v>518</v>
      </c>
      <c r="D198" s="552">
        <v>44992</v>
      </c>
      <c r="E198" s="365" t="s">
        <v>50</v>
      </c>
      <c r="F198" s="583"/>
      <c r="G198" s="426">
        <v>45237</v>
      </c>
      <c r="H198" s="457"/>
      <c r="I198" s="468" t="s">
        <v>519</v>
      </c>
      <c r="J198" s="336" t="s">
        <v>131</v>
      </c>
      <c r="K198" s="513">
        <v>1</v>
      </c>
      <c r="L198" s="458"/>
      <c r="M198" s="137">
        <f t="shared" si="31"/>
        <v>1</v>
      </c>
      <c r="N198" s="130"/>
      <c r="O198" s="584"/>
      <c r="P198" s="137">
        <f t="shared" si="32"/>
        <v>1</v>
      </c>
    </row>
    <row r="199" spans="1:16" s="9" customFormat="1" ht="34.5" customHeight="1" x14ac:dyDescent="0.25">
      <c r="A199" s="78"/>
      <c r="B199" s="132"/>
      <c r="C199" s="471" t="s">
        <v>522</v>
      </c>
      <c r="D199" s="552">
        <v>45026</v>
      </c>
      <c r="E199" s="365" t="s">
        <v>50</v>
      </c>
      <c r="F199" s="583"/>
      <c r="G199" s="426">
        <v>45240</v>
      </c>
      <c r="H199" s="457"/>
      <c r="I199" s="468" t="s">
        <v>523</v>
      </c>
      <c r="J199" s="336" t="s">
        <v>211</v>
      </c>
      <c r="K199" s="513">
        <v>1</v>
      </c>
      <c r="L199" s="458"/>
      <c r="M199" s="137">
        <f t="shared" si="31"/>
        <v>1</v>
      </c>
      <c r="N199" s="130"/>
      <c r="O199" s="584"/>
      <c r="P199" s="137">
        <f t="shared" si="32"/>
        <v>1</v>
      </c>
    </row>
    <row r="200" spans="1:16" s="9" customFormat="1" ht="34.5" customHeight="1" x14ac:dyDescent="0.25">
      <c r="A200" s="78"/>
      <c r="B200" s="132"/>
      <c r="C200" s="471" t="s">
        <v>532</v>
      </c>
      <c r="D200" s="552">
        <v>45413</v>
      </c>
      <c r="E200" s="365" t="s">
        <v>50</v>
      </c>
      <c r="F200" s="583"/>
      <c r="G200" s="426">
        <v>45245</v>
      </c>
      <c r="H200" s="457"/>
      <c r="I200" s="468" t="s">
        <v>533</v>
      </c>
      <c r="J200" s="336" t="s">
        <v>534</v>
      </c>
      <c r="K200" s="513">
        <v>1</v>
      </c>
      <c r="L200" s="458"/>
      <c r="M200" s="137">
        <f t="shared" si="31"/>
        <v>1</v>
      </c>
      <c r="N200" s="130"/>
      <c r="O200" s="584"/>
      <c r="P200" s="137">
        <f t="shared" si="32"/>
        <v>1</v>
      </c>
    </row>
    <row r="201" spans="1:16" s="9" customFormat="1" ht="35.25" customHeight="1" x14ac:dyDescent="0.25">
      <c r="A201" s="78"/>
      <c r="B201" s="132"/>
      <c r="C201" s="790" t="s">
        <v>535</v>
      </c>
      <c r="D201" s="552">
        <v>45413</v>
      </c>
      <c r="E201" s="365" t="s">
        <v>50</v>
      </c>
      <c r="F201" s="583"/>
      <c r="G201" s="426"/>
      <c r="H201" s="457"/>
      <c r="I201" s="468" t="s">
        <v>536</v>
      </c>
      <c r="J201" s="336" t="s">
        <v>335</v>
      </c>
      <c r="K201" s="513">
        <v>1</v>
      </c>
      <c r="L201" s="458"/>
      <c r="M201" s="137">
        <f t="shared" si="31"/>
        <v>1</v>
      </c>
      <c r="N201" s="130"/>
      <c r="O201" s="584"/>
      <c r="P201" s="137">
        <f t="shared" si="32"/>
        <v>1</v>
      </c>
    </row>
    <row r="202" spans="1:16" s="9" customFormat="1" ht="26.4" x14ac:dyDescent="0.25">
      <c r="A202" s="78"/>
      <c r="B202" s="132"/>
      <c r="C202" s="791"/>
      <c r="D202" s="552">
        <v>45413</v>
      </c>
      <c r="E202" s="365" t="s">
        <v>50</v>
      </c>
      <c r="F202" s="583"/>
      <c r="G202" s="426"/>
      <c r="H202" s="457"/>
      <c r="I202" s="468" t="s">
        <v>537</v>
      </c>
      <c r="J202" s="336" t="s">
        <v>538</v>
      </c>
      <c r="K202" s="513">
        <v>2</v>
      </c>
      <c r="L202" s="458"/>
      <c r="M202" s="137">
        <f t="shared" si="31"/>
        <v>2</v>
      </c>
      <c r="N202" s="130"/>
      <c r="O202" s="584"/>
      <c r="P202" s="137">
        <f t="shared" si="32"/>
        <v>2</v>
      </c>
    </row>
    <row r="203" spans="1:16" s="9" customFormat="1" ht="26.4" x14ac:dyDescent="0.25">
      <c r="A203" s="78"/>
      <c r="B203" s="132"/>
      <c r="C203" s="792"/>
      <c r="D203" s="552">
        <v>45413</v>
      </c>
      <c r="E203" s="365" t="s">
        <v>50</v>
      </c>
      <c r="F203" s="583"/>
      <c r="G203" s="426"/>
      <c r="H203" s="457"/>
      <c r="I203" s="468" t="s">
        <v>539</v>
      </c>
      <c r="J203" s="336" t="s">
        <v>438</v>
      </c>
      <c r="K203" s="513">
        <v>1</v>
      </c>
      <c r="L203" s="458"/>
      <c r="M203" s="137">
        <f t="shared" si="31"/>
        <v>1</v>
      </c>
      <c r="N203" s="130"/>
      <c r="O203" s="584"/>
      <c r="P203" s="137">
        <f t="shared" si="32"/>
        <v>1</v>
      </c>
    </row>
    <row r="204" spans="1:16" s="9" customFormat="1" ht="26.4" x14ac:dyDescent="0.25">
      <c r="A204" s="78"/>
      <c r="B204" s="132"/>
      <c r="C204" s="471" t="s">
        <v>542</v>
      </c>
      <c r="D204" s="552">
        <v>45413</v>
      </c>
      <c r="E204" s="365" t="s">
        <v>50</v>
      </c>
      <c r="F204" s="583"/>
      <c r="G204" s="426"/>
      <c r="H204" s="457"/>
      <c r="I204" s="468" t="s">
        <v>540</v>
      </c>
      <c r="J204" s="336" t="s">
        <v>541</v>
      </c>
      <c r="K204" s="513">
        <v>1</v>
      </c>
      <c r="L204" s="458"/>
      <c r="M204" s="137">
        <f t="shared" si="31"/>
        <v>1</v>
      </c>
      <c r="N204" s="130"/>
      <c r="O204" s="584"/>
      <c r="P204" s="137">
        <f t="shared" si="32"/>
        <v>1</v>
      </c>
    </row>
    <row r="205" spans="1:16" s="9" customFormat="1" ht="26.4" x14ac:dyDescent="0.25">
      <c r="A205" s="78"/>
      <c r="B205" s="132"/>
      <c r="C205" s="549" t="s">
        <v>566</v>
      </c>
      <c r="D205" s="552">
        <v>45422</v>
      </c>
      <c r="E205" s="365" t="s">
        <v>50</v>
      </c>
      <c r="F205" s="583"/>
      <c r="G205" s="426"/>
      <c r="H205" s="457"/>
      <c r="I205" s="468" t="s">
        <v>565</v>
      </c>
      <c r="J205" s="336" t="s">
        <v>534</v>
      </c>
      <c r="K205" s="513">
        <v>1</v>
      </c>
      <c r="L205" s="458"/>
      <c r="M205" s="137">
        <f t="shared" si="31"/>
        <v>1</v>
      </c>
      <c r="N205" s="130"/>
      <c r="O205" s="584"/>
      <c r="P205" s="137">
        <f t="shared" si="32"/>
        <v>1</v>
      </c>
    </row>
    <row r="206" spans="1:16" s="9" customFormat="1" ht="26.4" x14ac:dyDescent="0.25">
      <c r="A206" s="78"/>
      <c r="B206" s="132"/>
      <c r="C206" s="790" t="s">
        <v>547</v>
      </c>
      <c r="D206" s="552">
        <v>45361</v>
      </c>
      <c r="E206" s="365" t="s">
        <v>50</v>
      </c>
      <c r="F206" s="583"/>
      <c r="G206" s="426"/>
      <c r="H206" s="457"/>
      <c r="I206" s="468" t="s">
        <v>543</v>
      </c>
      <c r="J206" s="336" t="s">
        <v>544</v>
      </c>
      <c r="K206" s="513">
        <v>4</v>
      </c>
      <c r="L206" s="458"/>
      <c r="M206" s="137">
        <f t="shared" si="31"/>
        <v>4</v>
      </c>
      <c r="N206" s="130"/>
      <c r="O206" s="584"/>
      <c r="P206" s="137">
        <f t="shared" si="32"/>
        <v>4</v>
      </c>
    </row>
    <row r="207" spans="1:16" s="9" customFormat="1" ht="26.4" x14ac:dyDescent="0.25">
      <c r="A207" s="78"/>
      <c r="B207" s="132"/>
      <c r="C207" s="792"/>
      <c r="D207" s="552">
        <v>45361</v>
      </c>
      <c r="E207" s="365" t="s">
        <v>50</v>
      </c>
      <c r="F207" s="583"/>
      <c r="G207" s="426"/>
      <c r="H207" s="457"/>
      <c r="I207" s="468" t="s">
        <v>545</v>
      </c>
      <c r="J207" s="336" t="s">
        <v>546</v>
      </c>
      <c r="K207" s="513">
        <v>3</v>
      </c>
      <c r="L207" s="458"/>
      <c r="M207" s="137">
        <f t="shared" si="31"/>
        <v>3</v>
      </c>
      <c r="N207" s="130"/>
      <c r="O207" s="584"/>
      <c r="P207" s="137">
        <f t="shared" si="32"/>
        <v>3</v>
      </c>
    </row>
    <row r="208" spans="1:16" s="9" customFormat="1" ht="26.4" x14ac:dyDescent="0.25">
      <c r="A208" s="78"/>
      <c r="B208" s="132"/>
      <c r="C208" s="549" t="s">
        <v>548</v>
      </c>
      <c r="D208" s="552">
        <v>44967</v>
      </c>
      <c r="E208" s="365" t="s">
        <v>50</v>
      </c>
      <c r="F208" s="583"/>
      <c r="G208" s="426"/>
      <c r="H208" s="457"/>
      <c r="I208" s="468" t="s">
        <v>549</v>
      </c>
      <c r="J208" s="336" t="s">
        <v>550</v>
      </c>
      <c r="K208" s="513">
        <v>3</v>
      </c>
      <c r="L208" s="458"/>
      <c r="M208" s="137">
        <f t="shared" si="31"/>
        <v>3</v>
      </c>
      <c r="N208" s="130"/>
      <c r="O208" s="584"/>
      <c r="P208" s="137">
        <f t="shared" si="32"/>
        <v>3</v>
      </c>
    </row>
    <row r="209" spans="1:16" s="9" customFormat="1" ht="27" customHeight="1" x14ac:dyDescent="0.25">
      <c r="A209" s="78"/>
      <c r="B209" s="132"/>
      <c r="C209" s="549" t="s">
        <v>553</v>
      </c>
      <c r="D209" s="552">
        <v>44967</v>
      </c>
      <c r="E209" s="365" t="s">
        <v>50</v>
      </c>
      <c r="F209" s="583"/>
      <c r="G209" s="426"/>
      <c r="H209" s="457"/>
      <c r="I209" s="468" t="s">
        <v>551</v>
      </c>
      <c r="J209" s="336" t="s">
        <v>552</v>
      </c>
      <c r="K209" s="513">
        <v>2</v>
      </c>
      <c r="L209" s="458"/>
      <c r="M209" s="137">
        <f t="shared" si="31"/>
        <v>2</v>
      </c>
      <c r="N209" s="130"/>
      <c r="O209" s="584"/>
      <c r="P209" s="137">
        <f t="shared" si="32"/>
        <v>2</v>
      </c>
    </row>
    <row r="210" spans="1:16" s="9" customFormat="1" ht="30.75" customHeight="1" x14ac:dyDescent="0.25">
      <c r="A210" s="78"/>
      <c r="B210" s="132"/>
      <c r="C210" s="549" t="s">
        <v>596</v>
      </c>
      <c r="D210" s="552">
        <v>45383</v>
      </c>
      <c r="E210" s="365" t="s">
        <v>50</v>
      </c>
      <c r="F210" s="583"/>
      <c r="G210" s="426">
        <v>45261</v>
      </c>
      <c r="H210" s="457"/>
      <c r="I210" s="468" t="s">
        <v>595</v>
      </c>
      <c r="J210" s="336" t="s">
        <v>290</v>
      </c>
      <c r="K210" s="513">
        <v>8</v>
      </c>
      <c r="L210" s="458"/>
      <c r="M210" s="137">
        <f t="shared" si="31"/>
        <v>8</v>
      </c>
      <c r="N210" s="130"/>
      <c r="O210" s="584"/>
      <c r="P210" s="137">
        <f t="shared" si="32"/>
        <v>8</v>
      </c>
    </row>
    <row r="211" spans="1:16" s="9" customFormat="1" ht="30.75" customHeight="1" x14ac:dyDescent="0.25">
      <c r="A211" s="78"/>
      <c r="B211" s="132"/>
      <c r="C211" s="790" t="s">
        <v>600</v>
      </c>
      <c r="D211" s="552">
        <v>45383</v>
      </c>
      <c r="E211" s="365" t="s">
        <v>50</v>
      </c>
      <c r="F211" s="583"/>
      <c r="G211" s="426">
        <v>45261</v>
      </c>
      <c r="H211" s="457"/>
      <c r="I211" s="468" t="s">
        <v>597</v>
      </c>
      <c r="J211" s="336" t="s">
        <v>599</v>
      </c>
      <c r="K211" s="513">
        <v>6</v>
      </c>
      <c r="L211" s="458"/>
      <c r="M211" s="137">
        <f t="shared" si="31"/>
        <v>6</v>
      </c>
      <c r="N211" s="130">
        <v>6</v>
      </c>
      <c r="O211" s="584"/>
      <c r="P211" s="137">
        <f t="shared" si="32"/>
        <v>0</v>
      </c>
    </row>
    <row r="212" spans="1:16" s="9" customFormat="1" ht="21.75" customHeight="1" x14ac:dyDescent="0.25">
      <c r="A212" s="78"/>
      <c r="B212" s="132"/>
      <c r="C212" s="792"/>
      <c r="D212" s="552">
        <v>45383</v>
      </c>
      <c r="E212" s="365" t="s">
        <v>50</v>
      </c>
      <c r="F212" s="583"/>
      <c r="G212" s="426">
        <v>45261</v>
      </c>
      <c r="H212" s="457"/>
      <c r="I212" s="468" t="s">
        <v>598</v>
      </c>
      <c r="J212" s="336" t="s">
        <v>577</v>
      </c>
      <c r="K212" s="513">
        <v>3</v>
      </c>
      <c r="L212" s="458"/>
      <c r="M212" s="137">
        <f t="shared" si="31"/>
        <v>3</v>
      </c>
      <c r="N212" s="130">
        <v>3</v>
      </c>
      <c r="O212" s="584"/>
      <c r="P212" s="137">
        <f t="shared" si="32"/>
        <v>0</v>
      </c>
    </row>
    <row r="213" spans="1:16" s="9" customFormat="1" ht="27" customHeight="1" x14ac:dyDescent="0.25">
      <c r="A213" s="78"/>
      <c r="B213" s="132"/>
      <c r="C213" s="471" t="s">
        <v>647</v>
      </c>
      <c r="D213" s="552">
        <v>45017</v>
      </c>
      <c r="E213" s="365" t="s">
        <v>50</v>
      </c>
      <c r="F213" s="583"/>
      <c r="G213" s="426">
        <v>45267</v>
      </c>
      <c r="H213" s="457"/>
      <c r="I213" s="468" t="s">
        <v>645</v>
      </c>
      <c r="J213" s="336" t="s">
        <v>646</v>
      </c>
      <c r="K213" s="513">
        <v>2</v>
      </c>
      <c r="L213" s="458"/>
      <c r="M213" s="137">
        <f t="shared" si="31"/>
        <v>2</v>
      </c>
      <c r="N213" s="130"/>
      <c r="O213" s="584"/>
      <c r="P213" s="137">
        <f t="shared" si="32"/>
        <v>2</v>
      </c>
    </row>
    <row r="214" spans="1:16" s="9" customFormat="1" ht="27" customHeight="1" x14ac:dyDescent="0.25">
      <c r="A214" s="78"/>
      <c r="B214" s="132"/>
      <c r="C214" s="471" t="s">
        <v>732</v>
      </c>
      <c r="D214" s="552">
        <v>45495</v>
      </c>
      <c r="E214" s="365" t="s">
        <v>50</v>
      </c>
      <c r="F214" s="583"/>
      <c r="G214" s="426">
        <v>45316</v>
      </c>
      <c r="H214" s="457"/>
      <c r="I214" s="468" t="s">
        <v>727</v>
      </c>
      <c r="J214" s="336" t="s">
        <v>728</v>
      </c>
      <c r="K214" s="513">
        <v>1</v>
      </c>
      <c r="L214" s="458"/>
      <c r="M214" s="137">
        <f t="shared" ref="M214:M216" si="33">K214</f>
        <v>1</v>
      </c>
      <c r="N214" s="130"/>
      <c r="O214" s="584"/>
      <c r="P214" s="137">
        <f t="shared" ref="P214:P216" si="34">M214-N214</f>
        <v>1</v>
      </c>
    </row>
    <row r="215" spans="1:16" s="9" customFormat="1" ht="27" customHeight="1" x14ac:dyDescent="0.25">
      <c r="A215" s="78"/>
      <c r="B215" s="132"/>
      <c r="C215" s="471" t="s">
        <v>733</v>
      </c>
      <c r="D215" s="552">
        <v>45495</v>
      </c>
      <c r="E215" s="365" t="s">
        <v>50</v>
      </c>
      <c r="F215" s="583"/>
      <c r="G215" s="426">
        <v>45316</v>
      </c>
      <c r="H215" s="457"/>
      <c r="I215" s="468" t="s">
        <v>729</v>
      </c>
      <c r="J215" s="336" t="s">
        <v>728</v>
      </c>
      <c r="K215" s="513">
        <v>1</v>
      </c>
      <c r="L215" s="458"/>
      <c r="M215" s="137">
        <f t="shared" si="33"/>
        <v>1</v>
      </c>
      <c r="N215" s="130"/>
      <c r="O215" s="584"/>
      <c r="P215" s="137">
        <f t="shared" si="34"/>
        <v>1</v>
      </c>
    </row>
    <row r="216" spans="1:16" s="9" customFormat="1" ht="27" customHeight="1" x14ac:dyDescent="0.25">
      <c r="A216" s="78"/>
      <c r="B216" s="132"/>
      <c r="C216" s="471" t="s">
        <v>734</v>
      </c>
      <c r="D216" s="552">
        <v>45373</v>
      </c>
      <c r="E216" s="365" t="s">
        <v>50</v>
      </c>
      <c r="F216" s="583"/>
      <c r="G216" s="426">
        <v>45316</v>
      </c>
      <c r="H216" s="457"/>
      <c r="I216" s="468" t="s">
        <v>730</v>
      </c>
      <c r="J216" s="336" t="s">
        <v>731</v>
      </c>
      <c r="K216" s="513">
        <v>3</v>
      </c>
      <c r="L216" s="458"/>
      <c r="M216" s="137">
        <f t="shared" si="33"/>
        <v>3</v>
      </c>
      <c r="N216" s="130"/>
      <c r="O216" s="584"/>
      <c r="P216" s="137">
        <f t="shared" si="34"/>
        <v>3</v>
      </c>
    </row>
    <row r="217" spans="1:16" s="9" customFormat="1" ht="27" customHeight="1" x14ac:dyDescent="0.25">
      <c r="A217" s="78"/>
      <c r="B217" s="132"/>
      <c r="C217" s="467" t="s">
        <v>661</v>
      </c>
      <c r="D217" s="552">
        <v>45291</v>
      </c>
      <c r="E217" s="365" t="s">
        <v>50</v>
      </c>
      <c r="F217" s="583"/>
      <c r="G217" s="426">
        <v>45279</v>
      </c>
      <c r="H217" s="457"/>
      <c r="I217" s="468" t="s">
        <v>660</v>
      </c>
      <c r="J217" s="336" t="s">
        <v>521</v>
      </c>
      <c r="K217" s="513">
        <v>4</v>
      </c>
      <c r="L217" s="458"/>
      <c r="M217" s="137">
        <f t="shared" si="31"/>
        <v>4</v>
      </c>
      <c r="N217" s="130">
        <v>4</v>
      </c>
      <c r="O217" s="584"/>
      <c r="P217" s="137">
        <f t="shared" si="32"/>
        <v>0</v>
      </c>
    </row>
    <row r="218" spans="1:16" s="9" customFormat="1" ht="17.25" customHeight="1" x14ac:dyDescent="0.25">
      <c r="A218" s="97"/>
      <c r="B218" s="334" t="s">
        <v>404</v>
      </c>
      <c r="C218" s="96"/>
      <c r="D218" s="98"/>
      <c r="E218" s="99"/>
      <c r="F218" s="100"/>
      <c r="G218" s="101"/>
      <c r="H218" s="102"/>
      <c r="I218" s="103"/>
      <c r="J218" s="105"/>
      <c r="K218" s="106"/>
      <c r="L218" s="53"/>
      <c r="M218" s="54"/>
      <c r="N218" s="55"/>
      <c r="O218" s="53"/>
      <c r="P218" s="54"/>
    </row>
    <row r="219" spans="1:16" s="1" customFormat="1" ht="30" customHeight="1" x14ac:dyDescent="0.25">
      <c r="A219" s="333"/>
      <c r="B219" s="377"/>
      <c r="C219" s="579" t="s">
        <v>134</v>
      </c>
      <c r="D219" s="559">
        <v>45261</v>
      </c>
      <c r="E219" s="560" t="s">
        <v>50</v>
      </c>
      <c r="F219" s="558"/>
      <c r="G219" s="437">
        <v>45187</v>
      </c>
      <c r="H219" s="421"/>
      <c r="I219" s="338" t="s">
        <v>405</v>
      </c>
      <c r="J219" s="335" t="s">
        <v>406</v>
      </c>
      <c r="K219" s="454">
        <v>1</v>
      </c>
      <c r="L219" s="420"/>
      <c r="M219" s="137">
        <f t="shared" ref="M219" si="35">K219</f>
        <v>1</v>
      </c>
      <c r="N219" s="433"/>
      <c r="O219" s="438"/>
      <c r="P219" s="87">
        <f t="shared" ref="P219" si="36">M219-N219</f>
        <v>1</v>
      </c>
    </row>
    <row r="220" spans="1:16" s="9" customFormat="1" ht="16.5" customHeight="1" x14ac:dyDescent="0.25">
      <c r="A220" s="97"/>
      <c r="B220" s="330" t="s">
        <v>662</v>
      </c>
      <c r="C220" s="98"/>
      <c r="D220" s="98"/>
      <c r="E220" s="99"/>
      <c r="F220" s="100"/>
      <c r="G220" s="101"/>
      <c r="H220" s="102"/>
      <c r="I220" s="103"/>
      <c r="J220" s="105"/>
      <c r="K220" s="106"/>
      <c r="L220" s="111"/>
      <c r="M220" s="54"/>
      <c r="N220" s="55"/>
      <c r="O220" s="111"/>
      <c r="P220" s="52"/>
    </row>
    <row r="221" spans="1:16" s="9" customFormat="1" ht="13.2" x14ac:dyDescent="0.25">
      <c r="A221" s="89"/>
      <c r="B221" s="379"/>
      <c r="C221" s="793" t="s">
        <v>666</v>
      </c>
      <c r="D221" s="455">
        <v>45455</v>
      </c>
      <c r="E221" s="560" t="s">
        <v>50</v>
      </c>
      <c r="F221" s="517"/>
      <c r="G221" s="83">
        <v>45279</v>
      </c>
      <c r="H221" s="457"/>
      <c r="I221" s="338" t="s">
        <v>663</v>
      </c>
      <c r="J221" s="335" t="s">
        <v>237</v>
      </c>
      <c r="K221" s="454">
        <v>8</v>
      </c>
      <c r="L221" s="458"/>
      <c r="M221" s="69">
        <f>K221</f>
        <v>8</v>
      </c>
      <c r="N221" s="363"/>
      <c r="O221" s="142"/>
      <c r="P221" s="87">
        <f t="shared" ref="P221:P222" si="37">M221-N221</f>
        <v>8</v>
      </c>
    </row>
    <row r="222" spans="1:16" s="9" customFormat="1" ht="13.2" x14ac:dyDescent="0.25">
      <c r="A222" s="89"/>
      <c r="B222" s="379"/>
      <c r="C222" s="789"/>
      <c r="D222" s="455">
        <v>45455</v>
      </c>
      <c r="E222" s="560" t="s">
        <v>50</v>
      </c>
      <c r="F222" s="517"/>
      <c r="G222" s="83">
        <v>45279</v>
      </c>
      <c r="H222" s="457"/>
      <c r="I222" s="338" t="s">
        <v>664</v>
      </c>
      <c r="J222" s="335" t="s">
        <v>665</v>
      </c>
      <c r="K222" s="454">
        <v>8</v>
      </c>
      <c r="L222" s="458"/>
      <c r="M222" s="69">
        <f>K222</f>
        <v>8</v>
      </c>
      <c r="N222" s="363"/>
      <c r="O222" s="142"/>
      <c r="P222" s="87">
        <f t="shared" si="37"/>
        <v>8</v>
      </c>
    </row>
    <row r="223" spans="1:16" s="40" customFormat="1" ht="23.25" customHeight="1" x14ac:dyDescent="0.3">
      <c r="A223" s="339" t="s">
        <v>52</v>
      </c>
      <c r="B223" s="36"/>
      <c r="C223" s="37"/>
      <c r="D223" s="38"/>
      <c r="E223" s="38"/>
      <c r="F223" s="39"/>
      <c r="G223" s="39"/>
      <c r="H223" s="155"/>
      <c r="I223" s="203"/>
      <c r="J223" s="156"/>
      <c r="K223" s="157"/>
      <c r="L223" s="155"/>
      <c r="M223" s="158"/>
      <c r="N223" s="158"/>
      <c r="O223" s="155"/>
      <c r="P223" s="158"/>
    </row>
    <row r="224" spans="1:16" s="9" customFormat="1" ht="16.5" customHeight="1" x14ac:dyDescent="0.25">
      <c r="A224" s="97"/>
      <c r="B224" s="330" t="s">
        <v>61</v>
      </c>
      <c r="C224" s="96"/>
      <c r="D224" s="98"/>
      <c r="E224" s="98"/>
      <c r="F224" s="574">
        <f>SUM(F225:F227)</f>
        <v>348668.51</v>
      </c>
      <c r="G224" s="98"/>
      <c r="H224" s="102"/>
      <c r="I224" s="103"/>
      <c r="J224" s="105"/>
      <c r="K224" s="106"/>
      <c r="L224" s="53"/>
      <c r="M224" s="54"/>
      <c r="N224" s="55"/>
      <c r="O224" s="53"/>
      <c r="P224" s="54"/>
    </row>
    <row r="225" spans="1:16" s="1" customFormat="1" ht="39" customHeight="1" x14ac:dyDescent="0.25">
      <c r="A225" s="333"/>
      <c r="B225" s="377"/>
      <c r="C225" s="507" t="s">
        <v>128</v>
      </c>
      <c r="D225" s="350">
        <v>44280</v>
      </c>
      <c r="E225" s="341" t="s">
        <v>50</v>
      </c>
      <c r="F225" s="573">
        <v>348668.51</v>
      </c>
      <c r="G225" s="331">
        <v>44258</v>
      </c>
      <c r="H225" s="328"/>
      <c r="I225" s="468" t="s">
        <v>81</v>
      </c>
      <c r="J225" s="482" t="s">
        <v>80</v>
      </c>
      <c r="K225" s="378">
        <v>2</v>
      </c>
      <c r="L225" s="329"/>
      <c r="M225" s="69">
        <f>K225</f>
        <v>2</v>
      </c>
      <c r="N225" s="363"/>
      <c r="O225" s="142"/>
      <c r="P225" s="87">
        <f t="shared" ref="P225:P228" si="38">M225-N225</f>
        <v>2</v>
      </c>
    </row>
    <row r="226" spans="1:16" s="1" customFormat="1" ht="24.75" customHeight="1" x14ac:dyDescent="0.25">
      <c r="A226" s="333"/>
      <c r="B226" s="377"/>
      <c r="C226" s="343"/>
      <c r="D226" s="350">
        <v>45255</v>
      </c>
      <c r="E226" s="341" t="s">
        <v>50</v>
      </c>
      <c r="F226" s="580" t="s">
        <v>505</v>
      </c>
      <c r="G226" s="331">
        <v>45230</v>
      </c>
      <c r="H226" s="328"/>
      <c r="I226" s="468" t="s">
        <v>83</v>
      </c>
      <c r="J226" s="335" t="s">
        <v>506</v>
      </c>
      <c r="K226" s="378">
        <v>10</v>
      </c>
      <c r="L226" s="329"/>
      <c r="M226" s="137">
        <v>3</v>
      </c>
      <c r="N226" s="449">
        <v>3</v>
      </c>
      <c r="O226" s="142"/>
      <c r="P226" s="137">
        <f t="shared" si="38"/>
        <v>0</v>
      </c>
    </row>
    <row r="227" spans="1:16" s="1" customFormat="1" ht="23.25" customHeight="1" x14ac:dyDescent="0.25">
      <c r="A227" s="333"/>
      <c r="B227" s="377"/>
      <c r="C227" s="343"/>
      <c r="D227" s="350">
        <v>45280</v>
      </c>
      <c r="E227" s="341" t="s">
        <v>50</v>
      </c>
      <c r="F227" s="580" t="s">
        <v>505</v>
      </c>
      <c r="G227" s="331">
        <v>45238</v>
      </c>
      <c r="H227" s="328"/>
      <c r="I227" s="468" t="s">
        <v>84</v>
      </c>
      <c r="J227" s="335" t="s">
        <v>527</v>
      </c>
      <c r="K227" s="378">
        <v>20</v>
      </c>
      <c r="L227" s="329"/>
      <c r="M227" s="87">
        <f t="shared" ref="M227:M228" si="39">K227</f>
        <v>20</v>
      </c>
      <c r="N227" s="449"/>
      <c r="O227" s="142"/>
      <c r="P227" s="137">
        <f t="shared" si="38"/>
        <v>20</v>
      </c>
    </row>
    <row r="228" spans="1:16" s="1" customFormat="1" ht="23.25" customHeight="1" x14ac:dyDescent="0.25">
      <c r="A228" s="333"/>
      <c r="B228" s="377"/>
      <c r="C228" s="522" t="s">
        <v>718</v>
      </c>
      <c r="D228" s="351">
        <v>45332</v>
      </c>
      <c r="E228" s="341" t="s">
        <v>50</v>
      </c>
      <c r="F228" s="580"/>
      <c r="G228" s="354">
        <v>45306</v>
      </c>
      <c r="H228" s="328"/>
      <c r="I228" s="468" t="s">
        <v>719</v>
      </c>
      <c r="J228" s="335" t="s">
        <v>411</v>
      </c>
      <c r="K228" s="443">
        <v>1</v>
      </c>
      <c r="L228" s="329"/>
      <c r="M228" s="87">
        <f t="shared" si="39"/>
        <v>1</v>
      </c>
      <c r="N228" s="449"/>
      <c r="O228" s="142"/>
      <c r="P228" s="137">
        <f t="shared" si="38"/>
        <v>1</v>
      </c>
    </row>
    <row r="229" spans="1:16" s="9" customFormat="1" ht="17.25" customHeight="1" x14ac:dyDescent="0.25">
      <c r="A229" s="97"/>
      <c r="B229" s="369" t="s">
        <v>674</v>
      </c>
      <c r="C229" s="96"/>
      <c r="D229" s="98"/>
      <c r="E229" s="99"/>
      <c r="F229" s="100"/>
      <c r="G229" s="101"/>
      <c r="H229" s="102"/>
      <c r="I229" s="103"/>
      <c r="J229" s="105"/>
      <c r="K229" s="106"/>
      <c r="L229" s="53"/>
      <c r="M229" s="54"/>
      <c r="N229" s="55"/>
      <c r="O229" s="53"/>
      <c r="P229" s="54"/>
    </row>
    <row r="230" spans="1:16" s="9" customFormat="1" ht="27" customHeight="1" x14ac:dyDescent="0.25">
      <c r="A230" s="78"/>
      <c r="B230" s="132"/>
      <c r="C230" s="793" t="s">
        <v>682</v>
      </c>
      <c r="D230" s="620">
        <v>45289</v>
      </c>
      <c r="E230" s="620" t="s">
        <v>50</v>
      </c>
      <c r="F230" s="621"/>
      <c r="G230" s="73">
        <v>45286</v>
      </c>
      <c r="H230" s="457"/>
      <c r="I230" s="338" t="s">
        <v>675</v>
      </c>
      <c r="J230" s="335" t="s">
        <v>676</v>
      </c>
      <c r="K230" s="454">
        <v>2</v>
      </c>
      <c r="L230" s="458"/>
      <c r="M230" s="69">
        <f>K230</f>
        <v>2</v>
      </c>
      <c r="N230" s="363">
        <v>2</v>
      </c>
      <c r="O230" s="142"/>
      <c r="P230" s="87">
        <f t="shared" ref="P230:P233" si="40">M230-N230</f>
        <v>0</v>
      </c>
    </row>
    <row r="231" spans="1:16" s="9" customFormat="1" ht="27" customHeight="1" x14ac:dyDescent="0.25">
      <c r="A231" s="78"/>
      <c r="B231" s="132"/>
      <c r="C231" s="794"/>
      <c r="D231" s="622">
        <v>45289</v>
      </c>
      <c r="E231" s="623" t="s">
        <v>50</v>
      </c>
      <c r="F231" s="624"/>
      <c r="G231" s="426">
        <v>45286</v>
      </c>
      <c r="H231" s="457"/>
      <c r="I231" s="338" t="s">
        <v>677</v>
      </c>
      <c r="J231" s="335" t="s">
        <v>676</v>
      </c>
      <c r="K231" s="454">
        <v>1</v>
      </c>
      <c r="L231" s="458"/>
      <c r="M231" s="137">
        <f t="shared" ref="M231:M233" si="41">K231</f>
        <v>1</v>
      </c>
      <c r="N231" s="363">
        <v>1</v>
      </c>
      <c r="O231" s="142"/>
      <c r="P231" s="87">
        <f t="shared" si="40"/>
        <v>0</v>
      </c>
    </row>
    <row r="232" spans="1:16" s="9" customFormat="1" ht="27" customHeight="1" x14ac:dyDescent="0.25">
      <c r="A232" s="78"/>
      <c r="B232" s="132"/>
      <c r="C232" s="799" t="s">
        <v>683</v>
      </c>
      <c r="D232" s="622">
        <v>45289</v>
      </c>
      <c r="E232" s="623" t="s">
        <v>50</v>
      </c>
      <c r="F232" s="624"/>
      <c r="G232" s="426">
        <v>45286</v>
      </c>
      <c r="H232" s="457"/>
      <c r="I232" s="338" t="s">
        <v>678</v>
      </c>
      <c r="J232" s="335" t="s">
        <v>679</v>
      </c>
      <c r="K232" s="454">
        <v>1</v>
      </c>
      <c r="L232" s="458"/>
      <c r="M232" s="87">
        <f t="shared" si="41"/>
        <v>1</v>
      </c>
      <c r="N232" s="363"/>
      <c r="O232" s="142"/>
      <c r="P232" s="87">
        <f t="shared" si="40"/>
        <v>1</v>
      </c>
    </row>
    <row r="233" spans="1:16" s="9" customFormat="1" ht="27" customHeight="1" x14ac:dyDescent="0.25">
      <c r="A233" s="78"/>
      <c r="B233" s="132"/>
      <c r="C233" s="789"/>
      <c r="D233" s="625">
        <v>45289</v>
      </c>
      <c r="E233" s="626" t="s">
        <v>50</v>
      </c>
      <c r="F233" s="627"/>
      <c r="G233" s="422">
        <v>45286</v>
      </c>
      <c r="H233" s="457"/>
      <c r="I233" s="338" t="s">
        <v>680</v>
      </c>
      <c r="J233" s="335" t="s">
        <v>681</v>
      </c>
      <c r="K233" s="454">
        <v>1</v>
      </c>
      <c r="L233" s="458"/>
      <c r="M233" s="137">
        <f t="shared" si="41"/>
        <v>1</v>
      </c>
      <c r="N233" s="363">
        <v>1</v>
      </c>
      <c r="O233" s="142"/>
      <c r="P233" s="87">
        <f t="shared" si="40"/>
        <v>0</v>
      </c>
    </row>
    <row r="234" spans="1:16" s="9" customFormat="1" ht="15.75" customHeight="1" x14ac:dyDescent="0.25">
      <c r="A234" s="97"/>
      <c r="B234" s="369" t="s">
        <v>467</v>
      </c>
      <c r="C234" s="96"/>
      <c r="D234" s="98"/>
      <c r="E234" s="99"/>
      <c r="F234" s="100"/>
      <c r="G234" s="101"/>
      <c r="H234" s="102"/>
      <c r="I234" s="103"/>
      <c r="J234" s="105"/>
      <c r="K234" s="106"/>
      <c r="L234" s="53"/>
      <c r="M234" s="54"/>
      <c r="N234" s="55"/>
      <c r="O234" s="53"/>
      <c r="P234" s="54"/>
    </row>
    <row r="235" spans="1:16" s="9" customFormat="1" ht="27" customHeight="1" x14ac:dyDescent="0.25">
      <c r="A235" s="78"/>
      <c r="B235" s="140"/>
      <c r="C235" s="511" t="s">
        <v>391</v>
      </c>
      <c r="D235" s="350">
        <v>45197</v>
      </c>
      <c r="E235" s="341" t="s">
        <v>60</v>
      </c>
      <c r="F235" s="380"/>
      <c r="G235" s="331">
        <v>45166</v>
      </c>
      <c r="H235" s="141"/>
      <c r="I235" s="338" t="s">
        <v>388</v>
      </c>
      <c r="J235" s="336" t="s">
        <v>385</v>
      </c>
      <c r="K235" s="470">
        <v>2</v>
      </c>
      <c r="L235" s="142"/>
      <c r="M235" s="137">
        <f>K235</f>
        <v>2</v>
      </c>
      <c r="N235" s="164"/>
      <c r="O235" s="438"/>
      <c r="P235" s="137">
        <f t="shared" ref="P235:P236" si="42">M235-N235</f>
        <v>2</v>
      </c>
    </row>
    <row r="236" spans="1:16" s="9" customFormat="1" ht="27" customHeight="1" x14ac:dyDescent="0.25">
      <c r="A236" s="78"/>
      <c r="B236" s="140"/>
      <c r="C236" s="511" t="s">
        <v>392</v>
      </c>
      <c r="D236" s="350">
        <v>45197</v>
      </c>
      <c r="E236" s="341" t="s">
        <v>60</v>
      </c>
      <c r="F236" s="380"/>
      <c r="G236" s="331">
        <v>45166</v>
      </c>
      <c r="H236" s="141"/>
      <c r="I236" s="338" t="s">
        <v>389</v>
      </c>
      <c r="J236" s="336" t="s">
        <v>386</v>
      </c>
      <c r="K236" s="470">
        <v>2</v>
      </c>
      <c r="L236" s="142"/>
      <c r="M236" s="137">
        <f t="shared" ref="M236" si="43">K236</f>
        <v>2</v>
      </c>
      <c r="N236" s="164"/>
      <c r="O236" s="438"/>
      <c r="P236" s="137">
        <f t="shared" si="42"/>
        <v>2</v>
      </c>
    </row>
    <row r="237" spans="1:16" s="9" customFormat="1" ht="15.75" customHeight="1" x14ac:dyDescent="0.25">
      <c r="A237" s="97"/>
      <c r="B237" s="330" t="s">
        <v>94</v>
      </c>
      <c r="C237" s="96"/>
      <c r="D237" s="98"/>
      <c r="E237" s="99"/>
      <c r="F237" s="100"/>
      <c r="G237" s="101"/>
      <c r="H237" s="102"/>
      <c r="I237" s="103"/>
      <c r="J237" s="105"/>
      <c r="K237" s="106"/>
      <c r="L237" s="53"/>
      <c r="M237" s="54"/>
      <c r="N237" s="55"/>
      <c r="O237" s="53"/>
      <c r="P237" s="54"/>
    </row>
    <row r="238" spans="1:16" s="9" customFormat="1" ht="42" customHeight="1" x14ac:dyDescent="0.25">
      <c r="A238" s="78"/>
      <c r="B238" s="140"/>
      <c r="C238" s="448" t="s">
        <v>468</v>
      </c>
      <c r="D238" s="350">
        <v>45260</v>
      </c>
      <c r="E238" s="341" t="s">
        <v>50</v>
      </c>
      <c r="F238" s="380"/>
      <c r="G238" s="331">
        <v>45190</v>
      </c>
      <c r="H238" s="141"/>
      <c r="I238" s="338" t="s">
        <v>422</v>
      </c>
      <c r="J238" s="335" t="s">
        <v>423</v>
      </c>
      <c r="K238" s="86">
        <v>1</v>
      </c>
      <c r="L238" s="142"/>
      <c r="M238" s="367">
        <v>1</v>
      </c>
      <c r="N238" s="88"/>
      <c r="O238" s="142"/>
      <c r="P238" s="87">
        <f t="shared" ref="P238" si="44">K238-N238</f>
        <v>1</v>
      </c>
    </row>
    <row r="239" spans="1:16" s="9" customFormat="1" ht="21" customHeight="1" x14ac:dyDescent="0.25">
      <c r="A239" s="97"/>
      <c r="B239" s="330" t="s">
        <v>66</v>
      </c>
      <c r="C239" s="96"/>
      <c r="D239" s="98"/>
      <c r="E239" s="98"/>
      <c r="F239" s="575">
        <f>F240</f>
        <v>34982.519999999997</v>
      </c>
      <c r="G239" s="101"/>
      <c r="H239" s="102"/>
      <c r="I239" s="103"/>
      <c r="J239" s="105"/>
      <c r="K239" s="106"/>
      <c r="L239" s="53"/>
      <c r="M239" s="112"/>
      <c r="N239" s="113"/>
      <c r="O239" s="53"/>
      <c r="P239" s="52"/>
    </row>
    <row r="240" spans="1:16" s="9" customFormat="1" ht="27" customHeight="1" x14ac:dyDescent="0.25">
      <c r="A240" s="78"/>
      <c r="B240" s="140"/>
      <c r="C240" s="448"/>
      <c r="D240" s="350"/>
      <c r="E240" s="341" t="s">
        <v>60</v>
      </c>
      <c r="F240" s="564">
        <v>34982.519999999997</v>
      </c>
      <c r="G240" s="331">
        <v>44665</v>
      </c>
      <c r="H240" s="141"/>
      <c r="I240" s="338" t="s">
        <v>105</v>
      </c>
      <c r="J240" s="482" t="s">
        <v>106</v>
      </c>
      <c r="K240" s="86">
        <v>1</v>
      </c>
      <c r="L240" s="142"/>
      <c r="M240" s="367">
        <v>1</v>
      </c>
      <c r="N240" s="88"/>
      <c r="O240" s="142"/>
      <c r="P240" s="87">
        <f t="shared" ref="P240" si="45">K240-N240</f>
        <v>1</v>
      </c>
    </row>
    <row r="241" spans="1:16" s="9" customFormat="1" ht="16.5" customHeight="1" x14ac:dyDescent="0.25">
      <c r="A241" s="97"/>
      <c r="B241" s="369" t="s">
        <v>45</v>
      </c>
      <c r="C241" s="96"/>
      <c r="D241" s="98"/>
      <c r="E241" s="99"/>
      <c r="F241" s="100"/>
      <c r="G241" s="101"/>
      <c r="H241" s="102"/>
      <c r="I241" s="103"/>
      <c r="J241" s="105"/>
      <c r="K241" s="106"/>
      <c r="L241" s="53"/>
      <c r="M241" s="71"/>
      <c r="N241" s="55"/>
      <c r="O241" s="53"/>
      <c r="P241" s="54"/>
    </row>
    <row r="242" spans="1:16" s="9" customFormat="1" ht="41.25" customHeight="1" x14ac:dyDescent="0.25">
      <c r="A242" s="375"/>
      <c r="B242" s="208"/>
      <c r="C242" s="548" t="s">
        <v>528</v>
      </c>
      <c r="D242" s="350"/>
      <c r="E242" s="337" t="s">
        <v>273</v>
      </c>
      <c r="F242" s="364"/>
      <c r="G242" s="390"/>
      <c r="H242" s="439"/>
      <c r="I242" s="338" t="s">
        <v>459</v>
      </c>
      <c r="J242" s="336" t="s">
        <v>458</v>
      </c>
      <c r="K242" s="406">
        <v>1</v>
      </c>
      <c r="L242" s="161"/>
      <c r="M242" s="137">
        <v>1</v>
      </c>
      <c r="N242" s="164"/>
      <c r="O242" s="438"/>
      <c r="P242" s="137">
        <f t="shared" ref="P242" si="46">M242-N242</f>
        <v>1</v>
      </c>
    </row>
    <row r="243" spans="1:16" s="9" customFormat="1" ht="20.25" customHeight="1" x14ac:dyDescent="0.25">
      <c r="A243" s="97"/>
      <c r="B243" s="462" t="s">
        <v>609</v>
      </c>
      <c r="C243" s="96"/>
      <c r="D243" s="98"/>
      <c r="E243" s="99"/>
      <c r="F243" s="575">
        <f>SUM(F250:F251)</f>
        <v>0</v>
      </c>
      <c r="G243" s="101"/>
      <c r="H243" s="463"/>
      <c r="I243" s="103"/>
      <c r="J243" s="105"/>
      <c r="K243" s="106"/>
      <c r="L243" s="464"/>
      <c r="M243" s="71"/>
      <c r="N243" s="55"/>
      <c r="O243" s="464"/>
      <c r="P243" s="465"/>
    </row>
    <row r="244" spans="1:16" s="9" customFormat="1" ht="16.5" customHeight="1" x14ac:dyDescent="0.25">
      <c r="A244" s="97"/>
      <c r="B244" s="334" t="s">
        <v>63</v>
      </c>
      <c r="C244" s="96"/>
      <c r="D244" s="98"/>
      <c r="E244" s="99"/>
      <c r="F244" s="100"/>
      <c r="G244" s="101"/>
      <c r="H244" s="102"/>
      <c r="I244" s="103"/>
      <c r="J244" s="105"/>
      <c r="K244" s="106"/>
      <c r="L244" s="53"/>
      <c r="M244" s="417"/>
      <c r="N244" s="418"/>
      <c r="O244" s="53"/>
      <c r="P244" s="54"/>
    </row>
    <row r="245" spans="1:16" s="9" customFormat="1" ht="27.75" customHeight="1" x14ac:dyDescent="0.25">
      <c r="A245" s="78"/>
      <c r="B245" s="79"/>
      <c r="C245" s="466"/>
      <c r="D245" s="426">
        <v>44620</v>
      </c>
      <c r="E245" s="341" t="s">
        <v>120</v>
      </c>
      <c r="F245" s="93"/>
      <c r="G245" s="94">
        <v>44902</v>
      </c>
      <c r="H245" s="429"/>
      <c r="I245" s="468" t="s">
        <v>140</v>
      </c>
      <c r="J245" s="336" t="s">
        <v>127</v>
      </c>
      <c r="K245" s="453">
        <v>1</v>
      </c>
      <c r="L245" s="430"/>
      <c r="M245" s="87">
        <f t="shared" ref="M245:M246" si="47">K245</f>
        <v>1</v>
      </c>
      <c r="N245" s="485"/>
      <c r="O245" s="430"/>
      <c r="P245" s="87">
        <f t="shared" ref="P245:P247" si="48">K245-N245</f>
        <v>1</v>
      </c>
    </row>
    <row r="246" spans="1:16" s="9" customFormat="1" ht="27.75" customHeight="1" x14ac:dyDescent="0.25">
      <c r="A246" s="78"/>
      <c r="B246" s="79"/>
      <c r="C246" s="466"/>
      <c r="D246" s="426">
        <v>45229</v>
      </c>
      <c r="E246" s="341" t="s">
        <v>120</v>
      </c>
      <c r="F246" s="93"/>
      <c r="G246" s="94">
        <v>45175</v>
      </c>
      <c r="H246" s="429"/>
      <c r="I246" s="468" t="s">
        <v>413</v>
      </c>
      <c r="J246" s="336" t="s">
        <v>412</v>
      </c>
      <c r="K246" s="453">
        <v>1</v>
      </c>
      <c r="L246" s="430"/>
      <c r="M246" s="87">
        <f t="shared" si="47"/>
        <v>1</v>
      </c>
      <c r="N246" s="485"/>
      <c r="O246" s="430"/>
      <c r="P246" s="87">
        <f t="shared" si="48"/>
        <v>1</v>
      </c>
    </row>
    <row r="247" spans="1:16" s="9" customFormat="1" ht="27.75" customHeight="1" x14ac:dyDescent="0.25">
      <c r="A247" s="78"/>
      <c r="B247" s="79"/>
      <c r="C247" s="511" t="s">
        <v>136</v>
      </c>
      <c r="D247" s="426">
        <v>44591</v>
      </c>
      <c r="E247" s="341" t="s">
        <v>120</v>
      </c>
      <c r="F247" s="93"/>
      <c r="G247" s="94">
        <v>44889</v>
      </c>
      <c r="H247" s="429"/>
      <c r="I247" s="468" t="s">
        <v>137</v>
      </c>
      <c r="J247" s="336" t="s">
        <v>135</v>
      </c>
      <c r="K247" s="453">
        <v>2</v>
      </c>
      <c r="L247" s="430"/>
      <c r="M247" s="87">
        <v>1</v>
      </c>
      <c r="N247" s="485"/>
      <c r="O247" s="430"/>
      <c r="P247" s="87">
        <f t="shared" si="48"/>
        <v>2</v>
      </c>
    </row>
    <row r="248" spans="1:16" s="9" customFormat="1" ht="16.5" customHeight="1" x14ac:dyDescent="0.25">
      <c r="A248" s="97"/>
      <c r="B248" s="334" t="s">
        <v>496</v>
      </c>
      <c r="C248" s="96"/>
      <c r="D248" s="98"/>
      <c r="E248" s="99"/>
      <c r="F248" s="100"/>
      <c r="G248" s="101"/>
      <c r="H248" s="102"/>
      <c r="I248" s="103"/>
      <c r="J248" s="105"/>
      <c r="K248" s="106"/>
      <c r="L248" s="53"/>
      <c r="M248" s="49"/>
      <c r="N248" s="55"/>
      <c r="O248" s="53"/>
      <c r="P248" s="54"/>
    </row>
    <row r="249" spans="1:16" s="9" customFormat="1" ht="16.5" customHeight="1" x14ac:dyDescent="0.25">
      <c r="A249" s="97"/>
      <c r="B249" s="369" t="s">
        <v>500</v>
      </c>
      <c r="C249" s="96"/>
      <c r="D249" s="98"/>
      <c r="E249" s="99"/>
      <c r="F249" s="100"/>
      <c r="G249" s="101"/>
      <c r="H249" s="102"/>
      <c r="I249" s="103"/>
      <c r="J249" s="105"/>
      <c r="K249" s="106"/>
      <c r="L249" s="53"/>
      <c r="M249" s="49"/>
      <c r="N249" s="55"/>
      <c r="O249" s="53"/>
      <c r="P249" s="54"/>
    </row>
    <row r="250" spans="1:16" s="9" customFormat="1" ht="24.75" customHeight="1" x14ac:dyDescent="0.25">
      <c r="A250" s="375"/>
      <c r="B250" s="208"/>
      <c r="C250" s="799" t="s">
        <v>602</v>
      </c>
      <c r="D250" s="80">
        <v>45342</v>
      </c>
      <c r="E250" s="337" t="s">
        <v>103</v>
      </c>
      <c r="F250" s="599" t="s">
        <v>601</v>
      </c>
      <c r="G250" s="390">
        <v>44766</v>
      </c>
      <c r="H250" s="439"/>
      <c r="I250" s="555" t="s">
        <v>104</v>
      </c>
      <c r="J250" s="481" t="s">
        <v>603</v>
      </c>
      <c r="K250" s="406">
        <v>1</v>
      </c>
      <c r="L250" s="161"/>
      <c r="M250" s="137">
        <v>1</v>
      </c>
      <c r="N250" s="164"/>
      <c r="O250" s="438"/>
      <c r="P250" s="137">
        <f t="shared" ref="P250:P255" si="49">M250-N250</f>
        <v>1</v>
      </c>
    </row>
    <row r="251" spans="1:16" s="9" customFormat="1" ht="24.75" customHeight="1" x14ac:dyDescent="0.25">
      <c r="A251" s="375"/>
      <c r="B251" s="208"/>
      <c r="C251" s="788"/>
      <c r="D251" s="350">
        <v>45342</v>
      </c>
      <c r="E251" s="337" t="s">
        <v>60</v>
      </c>
      <c r="F251" s="599" t="s">
        <v>601</v>
      </c>
      <c r="G251" s="390">
        <v>44851</v>
      </c>
      <c r="H251" s="439"/>
      <c r="I251" s="555" t="s">
        <v>87</v>
      </c>
      <c r="J251" s="481" t="s">
        <v>604</v>
      </c>
      <c r="K251" s="406">
        <v>1</v>
      </c>
      <c r="L251" s="161"/>
      <c r="M251" s="137">
        <f>K251</f>
        <v>1</v>
      </c>
      <c r="N251" s="164"/>
      <c r="O251" s="438"/>
      <c r="P251" s="137">
        <f t="shared" si="49"/>
        <v>1</v>
      </c>
    </row>
    <row r="252" spans="1:16" s="9" customFormat="1" ht="24.75" customHeight="1" x14ac:dyDescent="0.25">
      <c r="A252" s="375"/>
      <c r="B252" s="208"/>
      <c r="C252" s="788"/>
      <c r="D252" s="350">
        <v>45342</v>
      </c>
      <c r="E252" s="337" t="s">
        <v>60</v>
      </c>
      <c r="F252" s="564"/>
      <c r="G252" s="390">
        <v>45264</v>
      </c>
      <c r="H252" s="439"/>
      <c r="I252" s="600" t="s">
        <v>610</v>
      </c>
      <c r="J252" s="538" t="s">
        <v>605</v>
      </c>
      <c r="K252" s="406">
        <v>1</v>
      </c>
      <c r="L252" s="161"/>
      <c r="M252" s="137">
        <f t="shared" ref="M252:M255" si="50">K252</f>
        <v>1</v>
      </c>
      <c r="N252" s="164"/>
      <c r="O252" s="438"/>
      <c r="P252" s="137">
        <f t="shared" si="49"/>
        <v>1</v>
      </c>
    </row>
    <row r="253" spans="1:16" s="9" customFormat="1" ht="24.75" customHeight="1" x14ac:dyDescent="0.25">
      <c r="A253" s="375"/>
      <c r="B253" s="208"/>
      <c r="C253" s="788"/>
      <c r="D253" s="350">
        <v>45342</v>
      </c>
      <c r="E253" s="337" t="s">
        <v>60</v>
      </c>
      <c r="F253" s="564"/>
      <c r="G253" s="390">
        <v>45264</v>
      </c>
      <c r="H253" s="439"/>
      <c r="I253" s="600" t="s">
        <v>611</v>
      </c>
      <c r="J253" s="538" t="s">
        <v>606</v>
      </c>
      <c r="K253" s="406">
        <v>1</v>
      </c>
      <c r="L253" s="161"/>
      <c r="M253" s="137">
        <f t="shared" si="50"/>
        <v>1</v>
      </c>
      <c r="N253" s="164"/>
      <c r="O253" s="438"/>
      <c r="P253" s="137">
        <f t="shared" si="49"/>
        <v>1</v>
      </c>
    </row>
    <row r="254" spans="1:16" s="9" customFormat="1" ht="24.75" customHeight="1" x14ac:dyDescent="0.25">
      <c r="A254" s="375"/>
      <c r="B254" s="208"/>
      <c r="C254" s="788"/>
      <c r="D254" s="350">
        <v>45342</v>
      </c>
      <c r="E254" s="337" t="s">
        <v>60</v>
      </c>
      <c r="F254" s="564"/>
      <c r="G254" s="390">
        <v>45264</v>
      </c>
      <c r="H254" s="439"/>
      <c r="I254" s="600" t="s">
        <v>612</v>
      </c>
      <c r="J254" s="538" t="s">
        <v>607</v>
      </c>
      <c r="K254" s="406">
        <v>1</v>
      </c>
      <c r="L254" s="161"/>
      <c r="M254" s="137">
        <f t="shared" si="50"/>
        <v>1</v>
      </c>
      <c r="N254" s="164"/>
      <c r="O254" s="438"/>
      <c r="P254" s="137">
        <f t="shared" si="49"/>
        <v>1</v>
      </c>
    </row>
    <row r="255" spans="1:16" s="9" customFormat="1" ht="24.75" customHeight="1" x14ac:dyDescent="0.25">
      <c r="A255" s="375"/>
      <c r="B255" s="208"/>
      <c r="C255" s="789"/>
      <c r="D255" s="350">
        <v>45342</v>
      </c>
      <c r="E255" s="337" t="s">
        <v>60</v>
      </c>
      <c r="F255" s="564"/>
      <c r="G255" s="390">
        <v>45264</v>
      </c>
      <c r="H255" s="439"/>
      <c r="I255" s="600" t="s">
        <v>613</v>
      </c>
      <c r="J255" s="538" t="s">
        <v>608</v>
      </c>
      <c r="K255" s="406">
        <v>1</v>
      </c>
      <c r="L255" s="161"/>
      <c r="M255" s="137">
        <f t="shared" si="50"/>
        <v>1</v>
      </c>
      <c r="N255" s="164"/>
      <c r="O255" s="438"/>
      <c r="P255" s="137">
        <f t="shared" si="49"/>
        <v>1</v>
      </c>
    </row>
    <row r="256" spans="1:16" s="9" customFormat="1" ht="16.5" customHeight="1" x14ac:dyDescent="0.25">
      <c r="A256" s="97"/>
      <c r="B256" s="334" t="s">
        <v>79</v>
      </c>
      <c r="C256" s="96"/>
      <c r="D256" s="98"/>
      <c r="E256" s="99"/>
      <c r="F256" s="100"/>
      <c r="G256" s="101"/>
      <c r="H256" s="102"/>
      <c r="I256" s="103"/>
      <c r="J256" s="105"/>
      <c r="K256" s="106"/>
      <c r="L256" s="53"/>
      <c r="M256" s="49"/>
      <c r="N256" s="55"/>
      <c r="O256" s="53"/>
      <c r="P256" s="54"/>
    </row>
    <row r="257" spans="1:16" s="9" customFormat="1" ht="33.75" customHeight="1" x14ac:dyDescent="0.25">
      <c r="A257" s="78"/>
      <c r="B257" s="79"/>
      <c r="C257" s="467"/>
      <c r="D257" s="350">
        <v>45272</v>
      </c>
      <c r="E257" s="337" t="s">
        <v>50</v>
      </c>
      <c r="F257" s="563"/>
      <c r="G257" s="94">
        <v>45202</v>
      </c>
      <c r="H257" s="525"/>
      <c r="I257" s="338" t="s">
        <v>464</v>
      </c>
      <c r="J257" s="336" t="s">
        <v>462</v>
      </c>
      <c r="K257" s="470">
        <v>1</v>
      </c>
      <c r="L257" s="430"/>
      <c r="M257" s="87">
        <f>K257</f>
        <v>1</v>
      </c>
      <c r="N257" s="160"/>
      <c r="O257" s="91"/>
      <c r="P257" s="87">
        <f t="shared" ref="P257" si="51">M257-N257</f>
        <v>1</v>
      </c>
    </row>
    <row r="258" spans="1:16" s="9" customFormat="1" ht="15.75" customHeight="1" x14ac:dyDescent="0.25">
      <c r="A258" s="97"/>
      <c r="B258" s="334" t="s">
        <v>71</v>
      </c>
      <c r="C258" s="96"/>
      <c r="D258" s="98"/>
      <c r="E258" s="99"/>
      <c r="F258" s="100"/>
      <c r="G258" s="101"/>
      <c r="H258" s="102"/>
      <c r="I258" s="103"/>
      <c r="J258" s="104"/>
      <c r="K258" s="105"/>
      <c r="L258" s="106"/>
      <c r="M258" s="49"/>
      <c r="N258" s="55"/>
      <c r="O258" s="53"/>
      <c r="P258" s="54"/>
    </row>
    <row r="259" spans="1:16" s="1" customFormat="1" ht="27" customHeight="1" x14ac:dyDescent="0.25">
      <c r="A259" s="333"/>
      <c r="B259" s="377"/>
      <c r="C259" s="471"/>
      <c r="D259" s="350"/>
      <c r="E259" s="428" t="s">
        <v>60</v>
      </c>
      <c r="F259" s="445"/>
      <c r="G259" s="354"/>
      <c r="H259" s="421"/>
      <c r="I259" s="338" t="s">
        <v>85</v>
      </c>
      <c r="J259" s="336" t="s">
        <v>77</v>
      </c>
      <c r="K259" s="440">
        <v>0</v>
      </c>
      <c r="L259" s="444"/>
      <c r="M259" s="441">
        <f>K259</f>
        <v>0</v>
      </c>
      <c r="N259" s="427">
        <v>80</v>
      </c>
      <c r="O259" s="142"/>
      <c r="P259" s="352">
        <f>M259-N259</f>
        <v>-80</v>
      </c>
    </row>
    <row r="260" spans="1:16" s="56" customFormat="1" ht="18" customHeight="1" x14ac:dyDescent="0.25">
      <c r="A260" s="41"/>
      <c r="B260" s="330" t="s">
        <v>89</v>
      </c>
      <c r="C260" s="96"/>
      <c r="D260" s="44"/>
      <c r="E260" s="45"/>
      <c r="F260" s="46"/>
      <c r="G260" s="47"/>
      <c r="H260" s="48"/>
      <c r="I260" s="49"/>
      <c r="J260" s="50"/>
      <c r="K260" s="51"/>
      <c r="L260" s="53"/>
      <c r="M260" s="49"/>
      <c r="N260" s="55"/>
      <c r="O260" s="53"/>
      <c r="P260" s="54"/>
    </row>
    <row r="261" spans="1:16" s="1" customFormat="1" ht="27" customHeight="1" x14ac:dyDescent="0.25">
      <c r="A261" s="333"/>
      <c r="B261" s="377"/>
      <c r="C261" s="791"/>
      <c r="D261" s="350">
        <v>44643</v>
      </c>
      <c r="E261" s="428" t="s">
        <v>91</v>
      </c>
      <c r="F261" s="445"/>
      <c r="G261" s="354">
        <v>44623</v>
      </c>
      <c r="H261" s="421"/>
      <c r="I261" s="338" t="s">
        <v>99</v>
      </c>
      <c r="J261" s="336" t="s">
        <v>96</v>
      </c>
      <c r="K261" s="440">
        <v>1</v>
      </c>
      <c r="L261" s="444"/>
      <c r="M261" s="441">
        <f t="shared" ref="M261:M263" si="52">K261</f>
        <v>1</v>
      </c>
      <c r="N261" s="427"/>
      <c r="O261" s="142"/>
      <c r="P261" s="352">
        <f t="shared" ref="P261:P263" si="53">M261-N261</f>
        <v>1</v>
      </c>
    </row>
    <row r="262" spans="1:16" s="1" customFormat="1" ht="27" customHeight="1" x14ac:dyDescent="0.25">
      <c r="A262" s="333"/>
      <c r="B262" s="377"/>
      <c r="C262" s="791"/>
      <c r="D262" s="350">
        <v>44643</v>
      </c>
      <c r="E262" s="428" t="s">
        <v>91</v>
      </c>
      <c r="F262" s="445"/>
      <c r="G262" s="354">
        <v>44623</v>
      </c>
      <c r="H262" s="421"/>
      <c r="I262" s="338" t="s">
        <v>100</v>
      </c>
      <c r="J262" s="336" t="s">
        <v>97</v>
      </c>
      <c r="K262" s="440">
        <v>1</v>
      </c>
      <c r="L262" s="444"/>
      <c r="M262" s="441">
        <f t="shared" si="52"/>
        <v>1</v>
      </c>
      <c r="N262" s="427"/>
      <c r="O262" s="142"/>
      <c r="P262" s="352">
        <f t="shared" si="53"/>
        <v>1</v>
      </c>
    </row>
    <row r="263" spans="1:16" s="1" customFormat="1" ht="27" customHeight="1" x14ac:dyDescent="0.25">
      <c r="A263" s="333"/>
      <c r="B263" s="377"/>
      <c r="C263" s="791"/>
      <c r="D263" s="350">
        <v>44643</v>
      </c>
      <c r="E263" s="428" t="s">
        <v>91</v>
      </c>
      <c r="F263" s="445"/>
      <c r="G263" s="354">
        <v>44623</v>
      </c>
      <c r="H263" s="421"/>
      <c r="I263" s="338" t="s">
        <v>101</v>
      </c>
      <c r="J263" s="336" t="s">
        <v>98</v>
      </c>
      <c r="K263" s="440">
        <v>1</v>
      </c>
      <c r="L263" s="444"/>
      <c r="M263" s="441">
        <f t="shared" si="52"/>
        <v>1</v>
      </c>
      <c r="N263" s="427"/>
      <c r="O263" s="142"/>
      <c r="P263" s="352">
        <f t="shared" si="53"/>
        <v>1</v>
      </c>
    </row>
    <row r="264" spans="1:16" s="56" customFormat="1" ht="18" customHeight="1" x14ac:dyDescent="0.25">
      <c r="A264" s="41"/>
      <c r="B264" s="330" t="s">
        <v>720</v>
      </c>
      <c r="C264" s="96"/>
      <c r="D264" s="44"/>
      <c r="E264" s="45"/>
      <c r="F264" s="46"/>
      <c r="G264" s="47"/>
      <c r="H264" s="48"/>
      <c r="I264" s="49"/>
      <c r="J264" s="50"/>
      <c r="K264" s="51"/>
      <c r="L264" s="53"/>
      <c r="M264" s="49"/>
      <c r="N264" s="55"/>
      <c r="O264" s="53"/>
      <c r="P264" s="54"/>
    </row>
    <row r="265" spans="1:16" s="9" customFormat="1" ht="28.5" customHeight="1" x14ac:dyDescent="0.25">
      <c r="A265" s="78"/>
      <c r="B265" s="79"/>
      <c r="C265" s="597" t="s">
        <v>722</v>
      </c>
      <c r="D265" s="426">
        <v>45322</v>
      </c>
      <c r="E265" s="341" t="s">
        <v>91</v>
      </c>
      <c r="F265" s="594"/>
      <c r="G265" s="94">
        <v>45306</v>
      </c>
      <c r="H265" s="429"/>
      <c r="I265" s="468" t="s">
        <v>723</v>
      </c>
      <c r="J265" s="336" t="s">
        <v>721</v>
      </c>
      <c r="K265" s="453">
        <v>1</v>
      </c>
      <c r="L265" s="430"/>
      <c r="M265" s="441">
        <v>1</v>
      </c>
      <c r="N265" s="427">
        <v>1</v>
      </c>
      <c r="O265" s="142"/>
      <c r="P265" s="352">
        <v>1</v>
      </c>
    </row>
    <row r="266" spans="1:16" s="56" customFormat="1" ht="18" customHeight="1" x14ac:dyDescent="0.25">
      <c r="A266" s="41"/>
      <c r="B266" s="330" t="s">
        <v>69</v>
      </c>
      <c r="C266" s="96"/>
      <c r="D266" s="44"/>
      <c r="E266" s="45"/>
      <c r="F266" s="46"/>
      <c r="G266" s="47"/>
      <c r="H266" s="48"/>
      <c r="I266" s="49"/>
      <c r="J266" s="50"/>
      <c r="K266" s="51"/>
      <c r="L266" s="53"/>
      <c r="M266" s="49"/>
      <c r="N266" s="55"/>
      <c r="O266" s="53"/>
      <c r="P266" s="54"/>
    </row>
    <row r="267" spans="1:16" s="9" customFormat="1" ht="55.5" customHeight="1" x14ac:dyDescent="0.25">
      <c r="A267" s="78"/>
      <c r="B267" s="79"/>
      <c r="C267" s="597" t="s">
        <v>639</v>
      </c>
      <c r="D267" s="426">
        <v>45396</v>
      </c>
      <c r="E267" s="341" t="s">
        <v>50</v>
      </c>
      <c r="F267" s="594"/>
      <c r="G267" s="94">
        <v>45267</v>
      </c>
      <c r="H267" s="429"/>
      <c r="I267" s="468" t="s">
        <v>640</v>
      </c>
      <c r="J267" s="336" t="s">
        <v>638</v>
      </c>
      <c r="K267" s="453">
        <v>1</v>
      </c>
      <c r="L267" s="430"/>
      <c r="M267" s="441">
        <f t="shared" ref="M267:M268" si="54">K267</f>
        <v>1</v>
      </c>
      <c r="N267" s="427"/>
      <c r="O267" s="142"/>
      <c r="P267" s="352">
        <f t="shared" ref="P267:P268" si="55">M267-N267</f>
        <v>1</v>
      </c>
    </row>
    <row r="268" spans="1:16" s="1" customFormat="1" ht="38.25" customHeight="1" x14ac:dyDescent="0.25">
      <c r="A268" s="333"/>
      <c r="B268" s="377"/>
      <c r="C268" s="592" t="s">
        <v>554</v>
      </c>
      <c r="D268" s="350">
        <v>45365</v>
      </c>
      <c r="E268" s="428" t="s">
        <v>50</v>
      </c>
      <c r="F268" s="445"/>
      <c r="G268" s="354">
        <v>45244</v>
      </c>
      <c r="H268" s="421"/>
      <c r="I268" s="468" t="s">
        <v>555</v>
      </c>
      <c r="J268" s="336" t="s">
        <v>635</v>
      </c>
      <c r="K268" s="440">
        <v>1</v>
      </c>
      <c r="L268" s="444"/>
      <c r="M268" s="441">
        <f t="shared" si="54"/>
        <v>1</v>
      </c>
      <c r="N268" s="427"/>
      <c r="O268" s="142"/>
      <c r="P268" s="352">
        <f t="shared" si="55"/>
        <v>1</v>
      </c>
    </row>
    <row r="269" spans="1:16" s="9" customFormat="1" ht="20.25" customHeight="1" x14ac:dyDescent="0.25">
      <c r="A269" s="97"/>
      <c r="B269" s="330" t="s">
        <v>274</v>
      </c>
      <c r="C269" s="96"/>
      <c r="D269" s="98"/>
      <c r="E269" s="99"/>
      <c r="F269" s="100"/>
      <c r="G269" s="101"/>
      <c r="H269" s="102"/>
      <c r="I269" s="103"/>
      <c r="J269" s="105"/>
      <c r="K269" s="106"/>
      <c r="L269" s="53"/>
      <c r="M269" s="49"/>
      <c r="N269" s="55"/>
      <c r="O269" s="53"/>
      <c r="P269" s="54"/>
    </row>
    <row r="270" spans="1:16" s="56" customFormat="1" ht="18.75" customHeight="1" x14ac:dyDescent="0.25">
      <c r="A270" s="41"/>
      <c r="B270" s="330" t="s">
        <v>342</v>
      </c>
      <c r="C270" s="96"/>
      <c r="D270" s="44"/>
      <c r="E270" s="44"/>
      <c r="F270" s="46"/>
      <c r="G270" s="47"/>
      <c r="H270" s="48"/>
      <c r="I270" s="49"/>
      <c r="J270" s="50"/>
      <c r="K270" s="51"/>
      <c r="L270" s="53"/>
      <c r="M270" s="49"/>
      <c r="N270" s="55"/>
      <c r="O270" s="53"/>
      <c r="P270" s="54"/>
    </row>
    <row r="271" spans="1:16" s="154" customFormat="1" ht="27.75" customHeight="1" x14ac:dyDescent="0.25">
      <c r="A271" s="143" t="s">
        <v>3</v>
      </c>
      <c r="B271" s="144"/>
      <c r="C271" s="145"/>
      <c r="D271" s="146"/>
      <c r="E271" s="146"/>
      <c r="F271" s="147"/>
      <c r="G271" s="147"/>
      <c r="H271" s="370"/>
      <c r="I271" s="149"/>
      <c r="J271" s="184"/>
      <c r="K271" s="150"/>
      <c r="L271" s="152"/>
      <c r="M271" s="153"/>
      <c r="N271" s="151"/>
      <c r="O271" s="152"/>
      <c r="P271" s="153"/>
    </row>
    <row r="272" spans="1:16" s="40" customFormat="1" ht="24" customHeight="1" x14ac:dyDescent="0.3">
      <c r="A272" s="339" t="s">
        <v>55</v>
      </c>
      <c r="B272" s="36"/>
      <c r="C272" s="37"/>
      <c r="D272" s="38"/>
      <c r="E272" s="38"/>
      <c r="F272" s="39"/>
      <c r="G272" s="39"/>
      <c r="H272" s="197"/>
      <c r="I272" s="198"/>
      <c r="J272" s="156"/>
      <c r="K272" s="157"/>
      <c r="L272" s="197"/>
      <c r="M272" s="158"/>
      <c r="N272" s="158"/>
      <c r="O272" s="197"/>
      <c r="P272" s="158"/>
    </row>
    <row r="273" spans="1:17" s="1" customFormat="1" ht="38.25" customHeight="1" x14ac:dyDescent="0.25">
      <c r="A273" s="539"/>
      <c r="B273" s="540"/>
      <c r="C273" s="472" t="s">
        <v>302</v>
      </c>
      <c r="D273" s="350">
        <v>44803</v>
      </c>
      <c r="E273" s="341" t="s">
        <v>301</v>
      </c>
      <c r="F273" s="542" t="s">
        <v>314</v>
      </c>
      <c r="G273" s="331">
        <v>45099</v>
      </c>
      <c r="H273" s="541"/>
      <c r="I273" s="338" t="s">
        <v>110</v>
      </c>
      <c r="J273" s="336" t="s">
        <v>109</v>
      </c>
      <c r="K273" s="470">
        <v>6</v>
      </c>
      <c r="L273" s="543"/>
      <c r="M273" s="352">
        <v>1</v>
      </c>
      <c r="N273" s="544"/>
      <c r="O273" s="545"/>
      <c r="P273" s="352">
        <v>1</v>
      </c>
      <c r="Q273" s="515" t="s">
        <v>303</v>
      </c>
    </row>
    <row r="274" spans="1:17" s="1" customFormat="1" ht="38.25" customHeight="1" x14ac:dyDescent="0.25">
      <c r="A274" s="333"/>
      <c r="B274" s="540"/>
      <c r="C274" s="472" t="s">
        <v>699</v>
      </c>
      <c r="D274" s="350">
        <v>45320</v>
      </c>
      <c r="E274" s="341" t="s">
        <v>50</v>
      </c>
      <c r="F274" s="542"/>
      <c r="G274" s="331">
        <v>45641</v>
      </c>
      <c r="H274" s="630"/>
      <c r="I274" s="338" t="s">
        <v>698</v>
      </c>
      <c r="J274" s="336" t="s">
        <v>697</v>
      </c>
      <c r="K274" s="470">
        <v>1</v>
      </c>
      <c r="L274" s="543"/>
      <c r="M274" s="352"/>
      <c r="N274" s="544"/>
      <c r="O274" s="545"/>
      <c r="P274" s="352"/>
      <c r="Q274" s="515" t="s">
        <v>700</v>
      </c>
    </row>
    <row r="275" spans="1:17" s="154" customFormat="1" ht="22.65" customHeight="1" x14ac:dyDescent="0.25">
      <c r="A275" s="340" t="s">
        <v>78</v>
      </c>
      <c r="B275" s="144"/>
      <c r="C275" s="145"/>
      <c r="D275" s="146"/>
      <c r="E275" s="146"/>
      <c r="F275" s="147"/>
      <c r="G275" s="147"/>
      <c r="H275" s="370"/>
      <c r="I275" s="149"/>
      <c r="J275" s="184"/>
      <c r="K275" s="150"/>
      <c r="L275" s="152"/>
      <c r="M275" s="153"/>
      <c r="N275" s="151"/>
      <c r="O275" s="152"/>
      <c r="P275" s="153"/>
      <c r="Q275" s="537"/>
    </row>
    <row r="276" spans="1:17" s="40" customFormat="1" ht="23.25" customHeight="1" x14ac:dyDescent="0.3">
      <c r="A276" s="199" t="s">
        <v>22</v>
      </c>
      <c r="B276" s="200"/>
      <c r="C276" s="201"/>
      <c r="D276" s="407"/>
      <c r="E276" s="407"/>
      <c r="F276" s="408"/>
      <c r="G276" s="408"/>
      <c r="H276" s="155"/>
      <c r="I276" s="198"/>
      <c r="J276" s="409"/>
      <c r="K276" s="204"/>
      <c r="L276" s="155"/>
      <c r="M276" s="159"/>
      <c r="N276" s="159"/>
      <c r="O276" s="155"/>
      <c r="P276" s="159"/>
    </row>
    <row r="277" spans="1:17" s="121" customFormat="1" ht="13.2" hidden="1" x14ac:dyDescent="0.25">
      <c r="A277" s="78"/>
      <c r="B277" s="814"/>
      <c r="C277" s="815"/>
      <c r="D277" s="80"/>
      <c r="E277" s="81"/>
      <c r="F277" s="82"/>
      <c r="G277" s="83"/>
      <c r="H277" s="90"/>
      <c r="I277" s="84"/>
      <c r="J277" s="85"/>
      <c r="K277" s="86"/>
      <c r="L277" s="91"/>
      <c r="M277" s="87">
        <f>K277</f>
        <v>0</v>
      </c>
      <c r="N277" s="88"/>
      <c r="O277" s="91"/>
      <c r="P277" s="87">
        <f t="shared" ref="P277:P280" si="56">K277-N277</f>
        <v>0</v>
      </c>
    </row>
    <row r="278" spans="1:17" s="121" customFormat="1" ht="13.2" hidden="1" x14ac:dyDescent="0.25">
      <c r="A278" s="78"/>
      <c r="B278" s="814"/>
      <c r="C278" s="815"/>
      <c r="D278" s="80"/>
      <c r="E278" s="81"/>
      <c r="F278" s="82"/>
      <c r="G278" s="83"/>
      <c r="H278" s="134"/>
      <c r="I278" s="84"/>
      <c r="J278" s="85"/>
      <c r="K278" s="86"/>
      <c r="L278" s="135"/>
      <c r="M278" s="87">
        <f>K278</f>
        <v>0</v>
      </c>
      <c r="N278" s="88"/>
      <c r="O278" s="135"/>
      <c r="P278" s="87">
        <f t="shared" si="56"/>
        <v>0</v>
      </c>
    </row>
    <row r="279" spans="1:17" s="121" customFormat="1" ht="28.5" hidden="1" customHeight="1" x14ac:dyDescent="0.25">
      <c r="A279" s="78"/>
      <c r="B279" s="814"/>
      <c r="C279" s="815"/>
      <c r="D279" s="80"/>
      <c r="E279" s="81"/>
      <c r="F279" s="82"/>
      <c r="G279" s="83"/>
      <c r="H279" s="90"/>
      <c r="I279" s="84"/>
      <c r="J279" s="85"/>
      <c r="K279" s="86"/>
      <c r="L279" s="91"/>
      <c r="M279" s="87">
        <f>K279</f>
        <v>0</v>
      </c>
      <c r="N279" s="88"/>
      <c r="O279" s="91"/>
      <c r="P279" s="87">
        <f t="shared" si="56"/>
        <v>0</v>
      </c>
    </row>
    <row r="280" spans="1:17" s="121" customFormat="1" ht="29.25" hidden="1" customHeight="1" x14ac:dyDescent="0.25">
      <c r="A280" s="78"/>
      <c r="B280" s="816"/>
      <c r="C280" s="817"/>
      <c r="D280" s="80"/>
      <c r="E280" s="81"/>
      <c r="F280" s="82"/>
      <c r="G280" s="83"/>
      <c r="H280" s="90"/>
      <c r="I280" s="84"/>
      <c r="J280" s="85"/>
      <c r="K280" s="86"/>
      <c r="L280" s="91"/>
      <c r="M280" s="87">
        <f>K280</f>
        <v>0</v>
      </c>
      <c r="N280" s="88"/>
      <c r="O280" s="91"/>
      <c r="P280" s="87">
        <f t="shared" si="56"/>
        <v>0</v>
      </c>
    </row>
    <row r="281" spans="1:17" s="154" customFormat="1" ht="22.65" customHeight="1" x14ac:dyDescent="0.25">
      <c r="A281" s="143" t="s">
        <v>26</v>
      </c>
      <c r="B281" s="144"/>
      <c r="C281" s="145"/>
      <c r="D281" s="146"/>
      <c r="E281" s="146"/>
      <c r="F281" s="147"/>
      <c r="G281" s="147"/>
      <c r="H281" s="370"/>
      <c r="I281" s="149"/>
      <c r="J281" s="184"/>
      <c r="K281" s="150"/>
      <c r="L281" s="152"/>
      <c r="M281" s="153"/>
      <c r="N281" s="151"/>
      <c r="O281" s="152"/>
      <c r="P281" s="153"/>
    </row>
    <row r="282" spans="1:17" s="40" customFormat="1" ht="20.25" customHeight="1" x14ac:dyDescent="0.3">
      <c r="A282" s="339" t="s">
        <v>46</v>
      </c>
      <c r="B282" s="396"/>
      <c r="C282" s="397"/>
      <c r="D282" s="398"/>
      <c r="E282" s="398"/>
      <c r="F282" s="399"/>
      <c r="G282" s="399"/>
      <c r="H282" s="400"/>
      <c r="I282" s="401"/>
      <c r="J282" s="402"/>
      <c r="K282" s="403"/>
      <c r="L282" s="400"/>
      <c r="M282" s="404"/>
      <c r="N282" s="404"/>
      <c r="O282" s="400"/>
      <c r="P282" s="404"/>
    </row>
    <row r="283" spans="1:17" s="121" customFormat="1" ht="24" customHeight="1" x14ac:dyDescent="0.25">
      <c r="A283" s="78"/>
      <c r="B283" s="78"/>
      <c r="C283" s="523" t="s">
        <v>1</v>
      </c>
      <c r="D283" s="426"/>
      <c r="E283" s="337" t="s">
        <v>49</v>
      </c>
      <c r="F283" s="93"/>
      <c r="G283" s="94">
        <v>43809</v>
      </c>
      <c r="H283" s="90"/>
      <c r="I283" s="392" t="s">
        <v>64</v>
      </c>
      <c r="J283" s="393" t="s">
        <v>65</v>
      </c>
      <c r="K283" s="582">
        <v>1</v>
      </c>
      <c r="L283" s="347"/>
      <c r="M283" s="394">
        <f>K283</f>
        <v>1</v>
      </c>
      <c r="N283" s="395"/>
      <c r="O283" s="347"/>
      <c r="P283" s="394">
        <f t="shared" ref="P283:P300" si="57">K283-N283</f>
        <v>1</v>
      </c>
    </row>
    <row r="284" spans="1:17" s="121" customFormat="1" ht="24" customHeight="1" x14ac:dyDescent="0.25">
      <c r="A284" s="78"/>
      <c r="B284" s="78"/>
      <c r="C284" s="523"/>
      <c r="D284" s="426"/>
      <c r="E284" s="337" t="s">
        <v>383</v>
      </c>
      <c r="F284" s="93"/>
      <c r="G284" s="94">
        <v>45238</v>
      </c>
      <c r="H284" s="90"/>
      <c r="I284" s="602" t="s">
        <v>516</v>
      </c>
      <c r="J284" s="581" t="s">
        <v>517</v>
      </c>
      <c r="K284" s="582">
        <v>1</v>
      </c>
      <c r="L284" s="347"/>
      <c r="M284" s="394">
        <f>K284</f>
        <v>1</v>
      </c>
      <c r="N284" s="395"/>
      <c r="O284" s="347"/>
      <c r="P284" s="394">
        <f t="shared" si="57"/>
        <v>1</v>
      </c>
    </row>
    <row r="285" spans="1:17" s="121" customFormat="1" ht="24" customHeight="1" x14ac:dyDescent="0.25">
      <c r="A285" s="78"/>
      <c r="B285" s="78"/>
      <c r="C285" s="523"/>
      <c r="D285" s="426"/>
      <c r="E285" s="337" t="s">
        <v>383</v>
      </c>
      <c r="F285" s="93"/>
      <c r="G285" s="354">
        <v>45245</v>
      </c>
      <c r="H285" s="90"/>
      <c r="I285" s="603" t="s">
        <v>531</v>
      </c>
      <c r="J285" s="588" t="s">
        <v>530</v>
      </c>
      <c r="K285" s="589">
        <v>1</v>
      </c>
      <c r="L285" s="347"/>
      <c r="M285" s="394">
        <f>K285</f>
        <v>1</v>
      </c>
      <c r="N285" s="395"/>
      <c r="O285" s="347"/>
      <c r="P285" s="394">
        <f t="shared" si="57"/>
        <v>1</v>
      </c>
    </row>
    <row r="286" spans="1:17" s="121" customFormat="1" ht="23.25" customHeight="1" x14ac:dyDescent="0.25">
      <c r="A286" s="78"/>
      <c r="B286" s="78"/>
      <c r="C286" s="182"/>
      <c r="D286" s="80"/>
      <c r="E286" s="341" t="s">
        <v>49</v>
      </c>
      <c r="F286" s="82"/>
      <c r="G286" s="83">
        <v>43648</v>
      </c>
      <c r="H286" s="90"/>
      <c r="I286" s="344"/>
      <c r="J286" s="345" t="s">
        <v>62</v>
      </c>
      <c r="K286" s="346">
        <v>1</v>
      </c>
      <c r="L286" s="347"/>
      <c r="M286" s="348">
        <f>K286</f>
        <v>1</v>
      </c>
      <c r="N286" s="349"/>
      <c r="O286" s="347"/>
      <c r="P286" s="394">
        <f t="shared" si="57"/>
        <v>1</v>
      </c>
    </row>
    <row r="287" spans="1:17" s="121" customFormat="1" ht="25.5" customHeight="1" x14ac:dyDescent="0.25">
      <c r="A287" s="78"/>
      <c r="B287" s="78"/>
      <c r="C287" s="182"/>
      <c r="D287" s="80"/>
      <c r="E287" s="341" t="s">
        <v>49</v>
      </c>
      <c r="F287" s="82"/>
      <c r="G287" s="452">
        <v>44776</v>
      </c>
      <c r="H287" s="90"/>
      <c r="I287" s="344" t="s">
        <v>122</v>
      </c>
      <c r="J287" s="362" t="s">
        <v>121</v>
      </c>
      <c r="K287" s="346">
        <v>1</v>
      </c>
      <c r="L287" s="347"/>
      <c r="M287" s="348">
        <f t="shared" ref="M287:M300" si="58">K287</f>
        <v>1</v>
      </c>
      <c r="N287" s="585"/>
      <c r="O287" s="347"/>
      <c r="P287" s="394">
        <f t="shared" si="57"/>
        <v>1</v>
      </c>
    </row>
    <row r="288" spans="1:17" s="121" customFormat="1" ht="25.5" customHeight="1" x14ac:dyDescent="0.25">
      <c r="A288" s="78"/>
      <c r="B288" s="78"/>
      <c r="C288" s="182"/>
      <c r="D288" s="80"/>
      <c r="E288" s="611" t="s">
        <v>49</v>
      </c>
      <c r="F288" s="612"/>
      <c r="G288" s="613">
        <v>45077</v>
      </c>
      <c r="H288" s="90"/>
      <c r="I288" s="604" t="s">
        <v>285</v>
      </c>
      <c r="J288" s="605" t="s">
        <v>286</v>
      </c>
      <c r="K288" s="606">
        <v>1</v>
      </c>
      <c r="L288" s="607"/>
      <c r="M288" s="608">
        <f t="shared" si="58"/>
        <v>1</v>
      </c>
      <c r="N288" s="609"/>
      <c r="O288" s="607"/>
      <c r="P288" s="610">
        <f t="shared" si="57"/>
        <v>1</v>
      </c>
    </row>
    <row r="289" spans="1:16" s="121" customFormat="1" ht="25.5" customHeight="1" x14ac:dyDescent="0.25">
      <c r="A289" s="78"/>
      <c r="B289" s="78"/>
      <c r="C289" s="182"/>
      <c r="D289" s="80"/>
      <c r="E289" s="611" t="s">
        <v>49</v>
      </c>
      <c r="F289" s="612"/>
      <c r="G289" s="613">
        <v>45077</v>
      </c>
      <c r="H289" s="90"/>
      <c r="I289" s="604" t="s">
        <v>287</v>
      </c>
      <c r="J289" s="605" t="s">
        <v>529</v>
      </c>
      <c r="K289" s="606">
        <v>1</v>
      </c>
      <c r="L289" s="607"/>
      <c r="M289" s="608">
        <f t="shared" si="58"/>
        <v>1</v>
      </c>
      <c r="N289" s="609"/>
      <c r="O289" s="607"/>
      <c r="P289" s="610">
        <f t="shared" si="57"/>
        <v>1</v>
      </c>
    </row>
    <row r="290" spans="1:16" s="121" customFormat="1" ht="23.25" customHeight="1" x14ac:dyDescent="0.25">
      <c r="A290" s="78"/>
      <c r="B290" s="78"/>
      <c r="C290" s="182"/>
      <c r="D290" s="350"/>
      <c r="E290" s="341" t="s">
        <v>49</v>
      </c>
      <c r="F290" s="82"/>
      <c r="G290" s="452">
        <v>44706</v>
      </c>
      <c r="H290" s="90"/>
      <c r="I290" s="344" t="s">
        <v>108</v>
      </c>
      <c r="J290" s="362" t="s">
        <v>107</v>
      </c>
      <c r="K290" s="346">
        <v>1</v>
      </c>
      <c r="L290" s="347"/>
      <c r="M290" s="348">
        <f t="shared" si="58"/>
        <v>1</v>
      </c>
      <c r="N290" s="487"/>
      <c r="O290" s="347"/>
      <c r="P290" s="394">
        <f t="shared" si="57"/>
        <v>1</v>
      </c>
    </row>
    <row r="291" spans="1:16" s="121" customFormat="1" ht="23.25" customHeight="1" x14ac:dyDescent="0.25">
      <c r="A291" s="78"/>
      <c r="B291" s="78"/>
      <c r="C291" s="182"/>
      <c r="D291" s="504"/>
      <c r="E291" s="341" t="s">
        <v>49</v>
      </c>
      <c r="F291" s="518"/>
      <c r="G291" s="505">
        <v>45019</v>
      </c>
      <c r="H291" s="64"/>
      <c r="I291" s="344" t="s">
        <v>229</v>
      </c>
      <c r="J291" s="362" t="s">
        <v>230</v>
      </c>
      <c r="K291" s="346">
        <v>3</v>
      </c>
      <c r="L291" s="506"/>
      <c r="M291" s="348">
        <f t="shared" si="58"/>
        <v>3</v>
      </c>
      <c r="N291" s="487">
        <v>3</v>
      </c>
      <c r="O291" s="347"/>
      <c r="P291" s="394">
        <f t="shared" si="57"/>
        <v>0</v>
      </c>
    </row>
    <row r="292" spans="1:16" s="121" customFormat="1" ht="23.25" customHeight="1" x14ac:dyDescent="0.25">
      <c r="A292" s="78"/>
      <c r="B292" s="78"/>
      <c r="C292" s="182"/>
      <c r="D292" s="504"/>
      <c r="E292" s="341" t="s">
        <v>667</v>
      </c>
      <c r="F292" s="518"/>
      <c r="G292" s="505">
        <v>45281</v>
      </c>
      <c r="H292" s="64"/>
      <c r="I292" s="344" t="s">
        <v>668</v>
      </c>
      <c r="J292" s="362" t="s">
        <v>669</v>
      </c>
      <c r="K292" s="346">
        <v>92</v>
      </c>
      <c r="L292" s="506"/>
      <c r="M292" s="348">
        <f t="shared" si="58"/>
        <v>92</v>
      </c>
      <c r="N292" s="487"/>
      <c r="O292" s="347"/>
      <c r="P292" s="394">
        <f t="shared" si="57"/>
        <v>92</v>
      </c>
    </row>
    <row r="293" spans="1:16" s="121" customFormat="1" ht="23.25" customHeight="1" x14ac:dyDescent="0.25">
      <c r="A293" s="78"/>
      <c r="B293" s="78"/>
      <c r="C293" s="182"/>
      <c r="D293" s="504"/>
      <c r="E293" s="341" t="s">
        <v>701</v>
      </c>
      <c r="F293" s="518"/>
      <c r="G293" s="505">
        <v>45306</v>
      </c>
      <c r="H293" s="64"/>
      <c r="I293" s="344" t="s">
        <v>704</v>
      </c>
      <c r="J293" s="362" t="s">
        <v>702</v>
      </c>
      <c r="K293" s="346">
        <v>1</v>
      </c>
      <c r="L293" s="506"/>
      <c r="M293" s="348">
        <f t="shared" si="58"/>
        <v>1</v>
      </c>
      <c r="N293" s="487"/>
      <c r="O293" s="347"/>
      <c r="P293" s="394">
        <f t="shared" si="57"/>
        <v>1</v>
      </c>
    </row>
    <row r="294" spans="1:16" s="121" customFormat="1" ht="23.25" customHeight="1" x14ac:dyDescent="0.25">
      <c r="A294" s="78"/>
      <c r="B294" s="78"/>
      <c r="C294" s="182"/>
      <c r="D294" s="504"/>
      <c r="E294" s="341" t="s">
        <v>701</v>
      </c>
      <c r="F294" s="518"/>
      <c r="G294" s="505">
        <v>45306</v>
      </c>
      <c r="H294" s="64"/>
      <c r="I294" s="344" t="s">
        <v>705</v>
      </c>
      <c r="J294" s="362" t="s">
        <v>703</v>
      </c>
      <c r="K294" s="346">
        <v>1</v>
      </c>
      <c r="L294" s="506"/>
      <c r="M294" s="348">
        <f t="shared" si="58"/>
        <v>1</v>
      </c>
      <c r="N294" s="487"/>
      <c r="O294" s="347"/>
      <c r="P294" s="394">
        <f t="shared" si="57"/>
        <v>1</v>
      </c>
    </row>
    <row r="295" spans="1:16" s="121" customFormat="1" ht="23.25" customHeight="1" x14ac:dyDescent="0.25">
      <c r="A295" s="78"/>
      <c r="B295" s="78"/>
      <c r="C295" s="182"/>
      <c r="D295" s="504"/>
      <c r="E295" s="341" t="s">
        <v>706</v>
      </c>
      <c r="F295" s="518"/>
      <c r="G295" s="505">
        <v>45306</v>
      </c>
      <c r="H295" s="64"/>
      <c r="I295" s="344" t="s">
        <v>710</v>
      </c>
      <c r="J295" s="362" t="s">
        <v>707</v>
      </c>
      <c r="K295" s="346">
        <v>3</v>
      </c>
      <c r="L295" s="506"/>
      <c r="M295" s="348">
        <f t="shared" si="58"/>
        <v>3</v>
      </c>
      <c r="N295" s="487"/>
      <c r="O295" s="347"/>
      <c r="P295" s="394">
        <f t="shared" si="57"/>
        <v>3</v>
      </c>
    </row>
    <row r="296" spans="1:16" s="121" customFormat="1" ht="23.25" customHeight="1" x14ac:dyDescent="0.25">
      <c r="A296" s="78"/>
      <c r="B296" s="78"/>
      <c r="C296" s="182"/>
      <c r="D296" s="504"/>
      <c r="E296" s="341" t="s">
        <v>706</v>
      </c>
      <c r="F296" s="518"/>
      <c r="G296" s="505">
        <v>45306</v>
      </c>
      <c r="H296" s="64"/>
      <c r="I296" s="344" t="s">
        <v>711</v>
      </c>
      <c r="J296" s="362" t="s">
        <v>708</v>
      </c>
      <c r="K296" s="346">
        <v>4</v>
      </c>
      <c r="L296" s="506"/>
      <c r="M296" s="348">
        <f t="shared" si="58"/>
        <v>4</v>
      </c>
      <c r="N296" s="487"/>
      <c r="O296" s="347"/>
      <c r="P296" s="394">
        <f t="shared" si="57"/>
        <v>4</v>
      </c>
    </row>
    <row r="297" spans="1:16" s="121" customFormat="1" ht="23.25" customHeight="1" x14ac:dyDescent="0.25">
      <c r="A297" s="78"/>
      <c r="B297" s="78"/>
      <c r="C297" s="182"/>
      <c r="D297" s="504"/>
      <c r="E297" s="341" t="s">
        <v>706</v>
      </c>
      <c r="F297" s="518"/>
      <c r="G297" s="505">
        <v>45306</v>
      </c>
      <c r="H297" s="64"/>
      <c r="I297" s="344" t="s">
        <v>712</v>
      </c>
      <c r="J297" s="362" t="s">
        <v>709</v>
      </c>
      <c r="K297" s="346">
        <v>1</v>
      </c>
      <c r="L297" s="506"/>
      <c r="M297" s="348">
        <f t="shared" si="58"/>
        <v>1</v>
      </c>
      <c r="N297" s="487"/>
      <c r="O297" s="347"/>
      <c r="P297" s="394">
        <f t="shared" si="57"/>
        <v>1</v>
      </c>
    </row>
    <row r="298" spans="1:16" s="121" customFormat="1" ht="27.75" customHeight="1" x14ac:dyDescent="0.25">
      <c r="A298" s="78"/>
      <c r="B298" s="78"/>
      <c r="C298" s="182"/>
      <c r="D298" s="504"/>
      <c r="E298" s="341" t="s">
        <v>49</v>
      </c>
      <c r="F298" s="518"/>
      <c r="G298" s="505">
        <v>45085</v>
      </c>
      <c r="H298" s="64"/>
      <c r="I298" s="344" t="s">
        <v>283</v>
      </c>
      <c r="J298" s="362" t="s">
        <v>282</v>
      </c>
      <c r="K298" s="346">
        <v>1</v>
      </c>
      <c r="L298" s="506"/>
      <c r="M298" s="348">
        <f t="shared" si="58"/>
        <v>1</v>
      </c>
      <c r="N298" s="487"/>
      <c r="O298" s="347"/>
      <c r="P298" s="394">
        <f t="shared" si="57"/>
        <v>1</v>
      </c>
    </row>
    <row r="299" spans="1:16" s="121" customFormat="1" ht="23.25" customHeight="1" x14ac:dyDescent="0.25">
      <c r="A299" s="78"/>
      <c r="B299" s="78"/>
      <c r="C299" s="182"/>
      <c r="D299" s="504"/>
      <c r="E299" s="341" t="s">
        <v>49</v>
      </c>
      <c r="F299" s="518"/>
      <c r="G299" s="505">
        <v>45058</v>
      </c>
      <c r="H299" s="64"/>
      <c r="I299" s="344" t="s">
        <v>271</v>
      </c>
      <c r="J299" s="362" t="s">
        <v>272</v>
      </c>
      <c r="K299" s="346">
        <v>1</v>
      </c>
      <c r="L299" s="506"/>
      <c r="M299" s="348">
        <f t="shared" si="58"/>
        <v>1</v>
      </c>
      <c r="N299" s="487"/>
      <c r="O299" s="347"/>
      <c r="P299" s="394">
        <f t="shared" si="57"/>
        <v>1</v>
      </c>
    </row>
    <row r="300" spans="1:16" s="121" customFormat="1" ht="19.5" customHeight="1" x14ac:dyDescent="0.25">
      <c r="A300" s="162"/>
      <c r="B300" s="162"/>
      <c r="C300" s="252"/>
      <c r="D300" s="253"/>
      <c r="E300" s="492" t="s">
        <v>49</v>
      </c>
      <c r="F300" s="493"/>
      <c r="G300" s="494">
        <v>43508</v>
      </c>
      <c r="H300" s="495"/>
      <c r="I300" s="496" t="s">
        <v>57</v>
      </c>
      <c r="J300" s="497" t="s">
        <v>58</v>
      </c>
      <c r="K300" s="498">
        <v>1</v>
      </c>
      <c r="L300" s="499"/>
      <c r="M300" s="500">
        <f t="shared" si="58"/>
        <v>1</v>
      </c>
      <c r="N300" s="501"/>
      <c r="O300" s="499"/>
      <c r="P300" s="502">
        <f t="shared" si="57"/>
        <v>1</v>
      </c>
    </row>
    <row r="301" spans="1:16" s="154" customFormat="1" ht="22.65" customHeight="1" x14ac:dyDescent="0.25">
      <c r="A301" s="491" t="s">
        <v>47</v>
      </c>
      <c r="B301" s="381"/>
      <c r="C301" s="382"/>
      <c r="D301" s="383"/>
      <c r="E301" s="383"/>
      <c r="F301" s="384"/>
      <c r="G301" s="384"/>
      <c r="H301" s="370"/>
      <c r="I301" s="385"/>
      <c r="J301" s="386"/>
      <c r="K301" s="387"/>
      <c r="L301" s="152"/>
      <c r="M301" s="389"/>
      <c r="N301" s="388"/>
      <c r="O301" s="152"/>
      <c r="P301" s="389"/>
    </row>
    <row r="302" spans="1:16" s="195" customFormat="1" ht="21" customHeight="1" x14ac:dyDescent="0.25">
      <c r="A302" s="185" t="s">
        <v>23</v>
      </c>
      <c r="B302" s="186"/>
      <c r="C302" s="187"/>
      <c r="D302" s="188"/>
      <c r="E302" s="188"/>
      <c r="F302" s="576">
        <f>F243+F239+F224+F126+F94+F12</f>
        <v>903839.7</v>
      </c>
      <c r="G302" s="189"/>
      <c r="H302" s="371"/>
      <c r="I302" s="191"/>
      <c r="J302" s="186"/>
      <c r="K302" s="192">
        <f>SUM(K13:K301)</f>
        <v>1151</v>
      </c>
      <c r="L302" s="194"/>
      <c r="M302" s="192">
        <f>SUM(M13:M301)</f>
        <v>1102</v>
      </c>
      <c r="N302" s="533">
        <f>SUM(N13:N301)</f>
        <v>155</v>
      </c>
      <c r="O302" s="194"/>
      <c r="P302" s="192">
        <f>SUM(P13:P301)</f>
        <v>949</v>
      </c>
    </row>
    <row r="303" spans="1:16" s="40" customFormat="1" ht="23.25" hidden="1" customHeight="1" x14ac:dyDescent="0.3">
      <c r="A303" s="196" t="s">
        <v>4</v>
      </c>
      <c r="B303" s="36"/>
      <c r="C303" s="37"/>
      <c r="D303" s="38"/>
      <c r="E303" s="38"/>
      <c r="F303" s="39"/>
      <c r="G303" s="39"/>
      <c r="H303" s="197"/>
      <c r="I303" s="198"/>
      <c r="J303" s="156"/>
      <c r="K303" s="157"/>
      <c r="L303" s="197"/>
      <c r="M303" s="158"/>
      <c r="N303" s="158"/>
      <c r="O303" s="197"/>
      <c r="P303" s="158"/>
    </row>
    <row r="304" spans="1:16" s="40" customFormat="1" ht="23.25" hidden="1" customHeight="1" x14ac:dyDescent="0.3">
      <c r="A304" s="199" t="s">
        <v>6</v>
      </c>
      <c r="B304" s="200"/>
      <c r="C304" s="201"/>
      <c r="D304" s="38"/>
      <c r="E304" s="38"/>
      <c r="F304" s="39"/>
      <c r="G304" s="39"/>
      <c r="H304" s="202"/>
      <c r="I304" s="203"/>
      <c r="J304" s="156"/>
      <c r="K304" s="204"/>
      <c r="L304" s="155"/>
      <c r="M304" s="159"/>
      <c r="N304" s="159"/>
      <c r="O304" s="155"/>
      <c r="P304" s="159"/>
    </row>
    <row r="305" spans="1:16" s="9" customFormat="1" ht="16.5" hidden="1" customHeight="1" x14ac:dyDescent="0.25">
      <c r="A305" s="97"/>
      <c r="B305" s="96" t="s">
        <v>36</v>
      </c>
      <c r="C305" s="96"/>
      <c r="D305" s="98"/>
      <c r="E305" s="99"/>
      <c r="F305" s="100"/>
      <c r="G305" s="101"/>
      <c r="H305" s="102"/>
      <c r="I305" s="103"/>
      <c r="J305" s="105"/>
      <c r="K305" s="106"/>
      <c r="L305" s="53"/>
      <c r="M305" s="54"/>
      <c r="N305" s="55"/>
      <c r="O305" s="53"/>
      <c r="P305" s="54"/>
    </row>
    <row r="306" spans="1:16" s="121" customFormat="1" ht="24.75" hidden="1" customHeight="1" x14ac:dyDescent="0.25">
      <c r="A306" s="116"/>
      <c r="B306" s="117"/>
      <c r="C306" s="808"/>
      <c r="D306" s="73"/>
      <c r="E306" s="92"/>
      <c r="F306" s="82"/>
      <c r="G306" s="83"/>
      <c r="H306" s="134"/>
      <c r="I306" s="118"/>
      <c r="J306" s="205"/>
      <c r="K306" s="120"/>
      <c r="L306" s="135"/>
      <c r="M306" s="87">
        <f>K306</f>
        <v>0</v>
      </c>
      <c r="N306" s="136" t="e">
        <f>#REF!</f>
        <v>#REF!</v>
      </c>
      <c r="O306" s="135"/>
      <c r="P306" s="69" t="e">
        <f>K306-N306</f>
        <v>#REF!</v>
      </c>
    </row>
    <row r="307" spans="1:16" s="121" customFormat="1" ht="30.75" hidden="1" customHeight="1" x14ac:dyDescent="0.25">
      <c r="A307" s="162"/>
      <c r="B307" s="163"/>
      <c r="C307" s="809"/>
      <c r="D307" s="422"/>
      <c r="E307" s="92"/>
      <c r="F307" s="93"/>
      <c r="G307" s="206"/>
      <c r="H307" s="134"/>
      <c r="I307" s="95"/>
      <c r="J307" s="207"/>
      <c r="K307" s="353"/>
      <c r="L307" s="135"/>
      <c r="M307" s="137">
        <f>K307</f>
        <v>0</v>
      </c>
      <c r="N307" s="136" t="e">
        <f>#REF!</f>
        <v>#REF!</v>
      </c>
      <c r="O307" s="135"/>
      <c r="P307" s="137" t="e">
        <f>K307-N307</f>
        <v>#REF!</v>
      </c>
    </row>
    <row r="308" spans="1:16" s="56" customFormat="1" ht="15" hidden="1" x14ac:dyDescent="0.25">
      <c r="A308" s="41"/>
      <c r="B308" s="42" t="s">
        <v>27</v>
      </c>
      <c r="C308" s="43"/>
      <c r="D308" s="44"/>
      <c r="E308" s="45"/>
      <c r="F308" s="46"/>
      <c r="G308" s="47"/>
      <c r="H308" s="48"/>
      <c r="I308" s="49"/>
      <c r="J308" s="50"/>
      <c r="K308" s="51"/>
      <c r="L308" s="53"/>
      <c r="M308" s="54"/>
      <c r="N308" s="55"/>
      <c r="O308" s="53"/>
      <c r="P308" s="54"/>
    </row>
    <row r="309" spans="1:16" s="9" customFormat="1" ht="13.2" hidden="1" x14ac:dyDescent="0.25">
      <c r="A309" s="57"/>
      <c r="B309" s="58"/>
      <c r="C309" s="208"/>
      <c r="D309" s="60"/>
      <c r="E309" s="107"/>
      <c r="F309" s="82"/>
      <c r="G309" s="83"/>
      <c r="H309" s="114"/>
      <c r="I309" s="65"/>
      <c r="J309" s="66"/>
      <c r="K309" s="67"/>
      <c r="L309" s="115"/>
      <c r="M309" s="71">
        <f>K309</f>
        <v>0</v>
      </c>
      <c r="N309" s="70" t="e">
        <f>#REF!</f>
        <v>#REF!</v>
      </c>
      <c r="O309" s="115"/>
      <c r="P309" s="71" t="e">
        <f>K309-N309</f>
        <v>#REF!</v>
      </c>
    </row>
    <row r="310" spans="1:16" s="9" customFormat="1" ht="16.5" hidden="1" customHeight="1" x14ac:dyDescent="0.25">
      <c r="A310" s="97"/>
      <c r="B310" s="96" t="s">
        <v>28</v>
      </c>
      <c r="C310" s="96"/>
      <c r="D310" s="98"/>
      <c r="E310" s="99"/>
      <c r="F310" s="100"/>
      <c r="G310" s="101"/>
      <c r="H310" s="102"/>
      <c r="I310" s="103"/>
      <c r="J310" s="105"/>
      <c r="K310" s="106"/>
      <c r="L310" s="53"/>
      <c r="M310" s="54"/>
      <c r="N310" s="55"/>
      <c r="O310" s="53"/>
      <c r="P310" s="54"/>
    </row>
    <row r="311" spans="1:16" s="9" customFormat="1" ht="13.2" hidden="1" x14ac:dyDescent="0.25">
      <c r="A311" s="57"/>
      <c r="B311" s="58"/>
      <c r="C311" s="59"/>
      <c r="D311" s="60"/>
      <c r="E311" s="61"/>
      <c r="F311" s="62"/>
      <c r="G311" s="63"/>
      <c r="H311" s="64"/>
      <c r="I311" s="65"/>
      <c r="J311" s="209"/>
      <c r="K311" s="67"/>
      <c r="L311" s="68"/>
      <c r="M311" s="71">
        <f>K311</f>
        <v>0</v>
      </c>
      <c r="N311" s="160" t="e">
        <f>#REF!</f>
        <v>#REF!</v>
      </c>
      <c r="O311" s="68"/>
      <c r="P311" s="71" t="e">
        <f>K311-N311</f>
        <v>#REF!</v>
      </c>
    </row>
    <row r="312" spans="1:16" s="9" customFormat="1" ht="16.5" hidden="1" customHeight="1" x14ac:dyDescent="0.25">
      <c r="A312" s="97"/>
      <c r="B312" s="96" t="s">
        <v>30</v>
      </c>
      <c r="C312" s="96"/>
      <c r="D312" s="98"/>
      <c r="E312" s="99"/>
      <c r="F312" s="100"/>
      <c r="G312" s="101"/>
      <c r="H312" s="102"/>
      <c r="I312" s="103"/>
      <c r="J312" s="105"/>
      <c r="K312" s="106"/>
      <c r="L312" s="53"/>
      <c r="M312" s="54"/>
      <c r="N312" s="55"/>
      <c r="O312" s="53"/>
      <c r="P312" s="54"/>
    </row>
    <row r="313" spans="1:16" s="9" customFormat="1" ht="13.2" hidden="1" x14ac:dyDescent="0.25">
      <c r="A313" s="57"/>
      <c r="B313" s="58"/>
      <c r="C313" s="59"/>
      <c r="D313" s="60"/>
      <c r="E313" s="61"/>
      <c r="F313" s="62"/>
      <c r="G313" s="63"/>
      <c r="H313" s="114"/>
      <c r="I313" s="65"/>
      <c r="J313" s="210"/>
      <c r="K313" s="67"/>
      <c r="L313" s="68"/>
      <c r="M313" s="71"/>
      <c r="N313" s="160"/>
      <c r="O313" s="68"/>
      <c r="P313" s="71">
        <f>K313-N313</f>
        <v>0</v>
      </c>
    </row>
    <row r="314" spans="1:16" s="9" customFormat="1" ht="16.5" hidden="1" customHeight="1" x14ac:dyDescent="0.25">
      <c r="A314" s="97"/>
      <c r="B314" s="96" t="s">
        <v>31</v>
      </c>
      <c r="C314" s="96"/>
      <c r="D314" s="98"/>
      <c r="E314" s="99"/>
      <c r="F314" s="100"/>
      <c r="G314" s="101"/>
      <c r="H314" s="102"/>
      <c r="I314" s="103"/>
      <c r="J314" s="105"/>
      <c r="K314" s="106"/>
      <c r="L314" s="53"/>
      <c r="M314" s="54"/>
      <c r="N314" s="55"/>
      <c r="O314" s="53"/>
      <c r="P314" s="54"/>
    </row>
    <row r="315" spans="1:16" s="9" customFormat="1" ht="50.25" hidden="1" customHeight="1" x14ac:dyDescent="0.25">
      <c r="A315" s="57"/>
      <c r="B315" s="58"/>
      <c r="C315" s="59"/>
      <c r="D315" s="60"/>
      <c r="E315" s="61"/>
      <c r="F315" s="62"/>
      <c r="G315" s="211"/>
      <c r="H315" s="173"/>
      <c r="I315" s="212"/>
      <c r="J315" s="213"/>
      <c r="K315" s="214"/>
      <c r="L315" s="68"/>
      <c r="M315" s="71"/>
      <c r="N315" s="160" t="e">
        <f>#REF!</f>
        <v>#REF!</v>
      </c>
      <c r="O315" s="68"/>
      <c r="P315" s="71" t="e">
        <f>K315-N315</f>
        <v>#REF!</v>
      </c>
    </row>
    <row r="316" spans="1:16" s="9" customFormat="1" ht="15" hidden="1" x14ac:dyDescent="0.25">
      <c r="A316" s="97"/>
      <c r="B316" s="96" t="s">
        <v>35</v>
      </c>
      <c r="C316" s="96"/>
      <c r="D316" s="215"/>
      <c r="E316" s="105"/>
      <c r="F316" s="100"/>
      <c r="G316" s="216"/>
      <c r="H316" s="217"/>
      <c r="I316" s="218"/>
      <c r="J316" s="219"/>
      <c r="K316" s="220"/>
      <c r="L316" s="221"/>
      <c r="M316" s="222"/>
      <c r="N316" s="222"/>
      <c r="O316" s="221"/>
      <c r="P316" s="222"/>
    </row>
    <row r="317" spans="1:16" s="121" customFormat="1" ht="30.75" hidden="1" customHeight="1" x14ac:dyDescent="0.25">
      <c r="A317" s="89"/>
      <c r="B317" s="223"/>
      <c r="C317" s="133"/>
      <c r="D317" s="426"/>
      <c r="E317" s="92"/>
      <c r="F317" s="82"/>
      <c r="G317" s="94"/>
      <c r="H317" s="134"/>
      <c r="I317" s="84"/>
      <c r="J317" s="85"/>
      <c r="K317" s="86"/>
      <c r="L317" s="135"/>
      <c r="M317" s="87">
        <f>K317</f>
        <v>0</v>
      </c>
      <c r="N317" s="136" t="e">
        <f>#REF!</f>
        <v>#REF!</v>
      </c>
      <c r="O317" s="135"/>
      <c r="P317" s="137" t="e">
        <f>K317-N317</f>
        <v>#REF!</v>
      </c>
    </row>
    <row r="318" spans="1:16" s="9" customFormat="1" ht="16.5" hidden="1" customHeight="1" x14ac:dyDescent="0.25">
      <c r="A318" s="97"/>
      <c r="B318" s="96"/>
      <c r="C318" s="96" t="s">
        <v>29</v>
      </c>
      <c r="D318" s="98"/>
      <c r="E318" s="99"/>
      <c r="F318" s="100"/>
      <c r="G318" s="101"/>
      <c r="H318" s="102"/>
      <c r="I318" s="103"/>
      <c r="J318" s="105"/>
      <c r="K318" s="106"/>
      <c r="L318" s="53"/>
      <c r="M318" s="54"/>
      <c r="N318" s="55"/>
      <c r="O318" s="53"/>
      <c r="P318" s="54"/>
    </row>
    <row r="319" spans="1:16" s="121" customFormat="1" ht="24.75" hidden="1" customHeight="1" x14ac:dyDescent="0.25">
      <c r="A319" s="224"/>
      <c r="B319" s="225"/>
      <c r="C319" s="226"/>
      <c r="D319" s="227"/>
      <c r="E319" s="92"/>
      <c r="F319" s="82"/>
      <c r="G319" s="83"/>
      <c r="H319" s="134"/>
      <c r="I319" s="118"/>
      <c r="J319" s="119"/>
      <c r="K319" s="120"/>
      <c r="L319" s="127"/>
      <c r="M319" s="128">
        <f>K319</f>
        <v>0</v>
      </c>
      <c r="N319" s="129"/>
      <c r="O319" s="127"/>
      <c r="P319" s="228">
        <f>K319-N319</f>
        <v>0</v>
      </c>
    </row>
    <row r="320" spans="1:16" s="110" customFormat="1" ht="21" hidden="1" customHeight="1" x14ac:dyDescent="0.25">
      <c r="A320" s="229"/>
      <c r="B320" s="230"/>
      <c r="C320" s="226"/>
      <c r="D320" s="231"/>
      <c r="E320" s="414"/>
      <c r="F320" s="232"/>
      <c r="G320" s="231"/>
      <c r="H320" s="233"/>
      <c r="I320" s="234"/>
      <c r="J320" s="235"/>
      <c r="K320" s="236"/>
      <c r="L320" s="237"/>
      <c r="M320" s="128">
        <f>K320</f>
        <v>0</v>
      </c>
      <c r="N320" s="129"/>
      <c r="O320" s="237"/>
      <c r="P320" s="128"/>
    </row>
    <row r="321" spans="1:16" s="154" customFormat="1" ht="22.65" hidden="1" customHeight="1" collapsed="1" x14ac:dyDescent="0.25">
      <c r="A321" s="143" t="s">
        <v>2</v>
      </c>
      <c r="B321" s="144"/>
      <c r="C321" s="145"/>
      <c r="D321" s="146"/>
      <c r="E321" s="146"/>
      <c r="F321" s="147"/>
      <c r="G321" s="147"/>
      <c r="H321" s="148"/>
      <c r="I321" s="149"/>
      <c r="J321" s="184"/>
      <c r="K321" s="150"/>
      <c r="L321" s="152"/>
      <c r="M321" s="151"/>
      <c r="N321" s="151"/>
      <c r="O321" s="152"/>
      <c r="P321" s="151"/>
    </row>
    <row r="322" spans="1:16" s="40" customFormat="1" ht="23.25" hidden="1" customHeight="1" x14ac:dyDescent="0.3">
      <c r="A322" s="35" t="s">
        <v>7</v>
      </c>
      <c r="B322" s="36"/>
      <c r="C322" s="37"/>
      <c r="D322" s="38"/>
      <c r="E322" s="38"/>
      <c r="F322" s="39"/>
      <c r="G322" s="39"/>
      <c r="H322" s="197"/>
      <c r="I322" s="198"/>
      <c r="J322" s="156"/>
      <c r="K322" s="157"/>
      <c r="L322" s="155"/>
      <c r="M322" s="158"/>
      <c r="N322" s="158"/>
      <c r="O322" s="155"/>
      <c r="P322" s="158"/>
    </row>
    <row r="323" spans="1:16" s="40" customFormat="1" ht="23.25" hidden="1" customHeight="1" x14ac:dyDescent="0.3">
      <c r="A323" s="238"/>
      <c r="B323" s="239" t="s">
        <v>8</v>
      </c>
      <c r="C323" s="240"/>
      <c r="D323" s="241"/>
      <c r="E323" s="242"/>
      <c r="F323" s="243"/>
      <c r="G323" s="244"/>
      <c r="H323" s="245"/>
      <c r="I323" s="246"/>
      <c r="J323" s="247"/>
      <c r="K323" s="248"/>
      <c r="L323" s="249"/>
      <c r="M323" s="250"/>
      <c r="N323" s="251"/>
      <c r="O323" s="249"/>
      <c r="P323" s="250"/>
    </row>
    <row r="324" spans="1:16" s="121" customFormat="1" ht="52.5" hidden="1" customHeight="1" x14ac:dyDescent="0.25">
      <c r="A324" s="162"/>
      <c r="B324" s="163"/>
      <c r="C324" s="252"/>
      <c r="D324" s="253"/>
      <c r="E324" s="81"/>
      <c r="F324" s="82"/>
      <c r="G324" s="83"/>
      <c r="H324" s="134"/>
      <c r="I324" s="84"/>
      <c r="J324" s="85"/>
      <c r="K324" s="86"/>
      <c r="L324" s="135"/>
      <c r="M324" s="87">
        <f>K324</f>
        <v>0</v>
      </c>
      <c r="N324" s="160" t="e">
        <f>#REF!</f>
        <v>#REF!</v>
      </c>
      <c r="O324" s="135"/>
      <c r="P324" s="87" t="e">
        <f>K324-N324</f>
        <v>#REF!</v>
      </c>
    </row>
    <row r="325" spans="1:16" s="56" customFormat="1" ht="15" hidden="1" x14ac:dyDescent="0.25">
      <c r="A325" s="41"/>
      <c r="B325" s="96" t="s">
        <v>32</v>
      </c>
      <c r="C325" s="96"/>
      <c r="D325" s="44"/>
      <c r="E325" s="45"/>
      <c r="F325" s="46"/>
      <c r="G325" s="47"/>
      <c r="H325" s="48"/>
      <c r="I325" s="49"/>
      <c r="J325" s="50"/>
      <c r="K325" s="51"/>
      <c r="L325" s="53"/>
      <c r="M325" s="54"/>
      <c r="N325" s="55"/>
      <c r="O325" s="53"/>
      <c r="P325" s="54"/>
    </row>
    <row r="326" spans="1:16" s="121" customFormat="1" ht="13.2" hidden="1" x14ac:dyDescent="0.25">
      <c r="A326" s="116"/>
      <c r="B326" s="117"/>
      <c r="C326" s="72"/>
      <c r="D326" s="73"/>
      <c r="E326" s="254"/>
      <c r="F326" s="170"/>
      <c r="G326" s="83"/>
      <c r="H326" s="134"/>
      <c r="I326" s="118"/>
      <c r="J326" s="119"/>
      <c r="K326" s="120"/>
      <c r="L326" s="91"/>
      <c r="M326" s="87">
        <f>K326</f>
        <v>0</v>
      </c>
      <c r="N326" s="88"/>
      <c r="O326" s="91"/>
      <c r="P326" s="87">
        <f>K326-N326</f>
        <v>0</v>
      </c>
    </row>
    <row r="327" spans="1:16" s="9" customFormat="1" ht="15.75" hidden="1" customHeight="1" x14ac:dyDescent="0.25">
      <c r="A327" s="255"/>
      <c r="B327" s="256"/>
      <c r="C327" s="182"/>
      <c r="D327" s="426"/>
      <c r="E327" s="92"/>
      <c r="F327" s="93"/>
      <c r="G327" s="257"/>
      <c r="H327" s="114"/>
      <c r="I327" s="95"/>
      <c r="J327" s="207"/>
      <c r="K327" s="372"/>
      <c r="L327" s="135"/>
      <c r="M327" s="87">
        <f>K327</f>
        <v>0</v>
      </c>
      <c r="N327" s="88" t="e">
        <f>#REF!</f>
        <v>#REF!</v>
      </c>
      <c r="O327" s="135"/>
      <c r="P327" s="87" t="e">
        <f>K327-N327</f>
        <v>#REF!</v>
      </c>
    </row>
    <row r="328" spans="1:16" s="56" customFormat="1" ht="15.75" hidden="1" customHeight="1" x14ac:dyDescent="0.25">
      <c r="A328" s="41"/>
      <c r="B328" s="96" t="s">
        <v>34</v>
      </c>
      <c r="C328" s="96"/>
      <c r="D328" s="222"/>
      <c r="E328" s="50"/>
      <c r="F328" s="46"/>
      <c r="G328" s="47"/>
      <c r="H328" s="258"/>
      <c r="I328" s="49"/>
      <c r="J328" s="259"/>
      <c r="K328" s="51"/>
      <c r="L328" s="221"/>
      <c r="M328" s="222"/>
      <c r="N328" s="222"/>
      <c r="O328" s="221"/>
      <c r="P328" s="222"/>
    </row>
    <row r="329" spans="1:16" s="121" customFormat="1" ht="28.5" hidden="1" customHeight="1" x14ac:dyDescent="0.25">
      <c r="A329" s="116"/>
      <c r="B329" s="117"/>
      <c r="C329" s="72"/>
      <c r="D329" s="73"/>
      <c r="E329" s="254"/>
      <c r="F329" s="82"/>
      <c r="G329" s="83"/>
      <c r="H329" s="134"/>
      <c r="I329" s="118"/>
      <c r="J329" s="119"/>
      <c r="K329" s="120"/>
      <c r="L329" s="135"/>
      <c r="M329" s="87">
        <f>K329</f>
        <v>0</v>
      </c>
      <c r="N329" s="181" t="e">
        <f>#REF!</f>
        <v>#REF!</v>
      </c>
      <c r="O329" s="135"/>
      <c r="P329" s="87" t="e">
        <f>K329-N329</f>
        <v>#REF!</v>
      </c>
    </row>
    <row r="330" spans="1:16" s="56" customFormat="1" ht="15" hidden="1" x14ac:dyDescent="0.25">
      <c r="A330" s="41"/>
      <c r="B330" s="96" t="s">
        <v>33</v>
      </c>
      <c r="C330" s="96"/>
      <c r="D330" s="44"/>
      <c r="E330" s="45"/>
      <c r="F330" s="46"/>
      <c r="G330" s="47"/>
      <c r="H330" s="48"/>
      <c r="I330" s="49"/>
      <c r="J330" s="50"/>
      <c r="K330" s="51"/>
      <c r="L330" s="53"/>
      <c r="M330" s="54"/>
      <c r="N330" s="55"/>
      <c r="O330" s="53"/>
      <c r="P330" s="54"/>
    </row>
    <row r="331" spans="1:16" s="121" customFormat="1" ht="13.2" hidden="1" x14ac:dyDescent="0.25">
      <c r="A331" s="116"/>
      <c r="B331" s="117"/>
      <c r="C331" s="373"/>
      <c r="D331" s="73"/>
      <c r="E331" s="254"/>
      <c r="F331" s="170"/>
      <c r="G331" s="172"/>
      <c r="H331" s="260"/>
      <c r="I331" s="75"/>
      <c r="J331" s="76"/>
      <c r="K331" s="261"/>
      <c r="L331" s="91"/>
      <c r="M331" s="87">
        <f>K331</f>
        <v>0</v>
      </c>
      <c r="N331" s="88"/>
      <c r="O331" s="91"/>
      <c r="P331" s="87">
        <f>K331-N331</f>
        <v>0</v>
      </c>
    </row>
    <row r="332" spans="1:16" s="180" customFormat="1" ht="15.75" hidden="1" customHeight="1" x14ac:dyDescent="0.25">
      <c r="A332" s="262"/>
      <c r="B332" s="263"/>
      <c r="C332" s="264"/>
      <c r="D332" s="123"/>
      <c r="E332" s="265"/>
      <c r="F332" s="138"/>
      <c r="G332" s="165"/>
      <c r="H332" s="166"/>
      <c r="I332" s="109"/>
      <c r="J332" s="125"/>
      <c r="K332" s="266"/>
      <c r="L332" s="127"/>
      <c r="M332" s="128">
        <f>K332</f>
        <v>0</v>
      </c>
      <c r="N332" s="179" t="e">
        <f>#REF!</f>
        <v>#REF!</v>
      </c>
      <c r="O332" s="127"/>
      <c r="P332" s="128" t="e">
        <f>K332-N332</f>
        <v>#REF!</v>
      </c>
    </row>
    <row r="333" spans="1:16" s="56" customFormat="1" ht="15" hidden="1" x14ac:dyDescent="0.25">
      <c r="A333" s="41"/>
      <c r="B333" s="96" t="s">
        <v>5</v>
      </c>
      <c r="C333" s="96"/>
      <c r="D333" s="44"/>
      <c r="E333" s="45"/>
      <c r="F333" s="46"/>
      <c r="G333" s="47"/>
      <c r="H333" s="48"/>
      <c r="I333" s="49"/>
      <c r="J333" s="50"/>
      <c r="K333" s="51"/>
      <c r="L333" s="53"/>
      <c r="M333" s="54"/>
      <c r="N333" s="55"/>
      <c r="O333" s="53"/>
      <c r="P333" s="54"/>
    </row>
    <row r="334" spans="1:16" s="131" customFormat="1" ht="13.2" hidden="1" x14ac:dyDescent="0.25">
      <c r="A334" s="267"/>
      <c r="B334" s="268"/>
      <c r="C334" s="269"/>
      <c r="D334" s="270"/>
      <c r="E334" s="271"/>
      <c r="F334" s="138"/>
      <c r="G334" s="165"/>
      <c r="H334" s="124"/>
      <c r="I334" s="272"/>
      <c r="J334" s="273"/>
      <c r="K334" s="274"/>
      <c r="L334" s="127"/>
      <c r="M334" s="128">
        <f>K334</f>
        <v>0</v>
      </c>
      <c r="N334" s="179"/>
      <c r="O334" s="127"/>
      <c r="P334" s="128">
        <f>K334-N334</f>
        <v>0</v>
      </c>
    </row>
    <row r="335" spans="1:16" s="9" customFormat="1" ht="15.75" hidden="1" customHeight="1" x14ac:dyDescent="0.25">
      <c r="A335" s="255"/>
      <c r="B335" s="256"/>
      <c r="C335" s="182"/>
      <c r="D335" s="426"/>
      <c r="E335" s="92"/>
      <c r="F335" s="93"/>
      <c r="G335" s="257"/>
      <c r="H335" s="114"/>
      <c r="I335" s="95"/>
      <c r="J335" s="207"/>
      <c r="K335" s="372"/>
      <c r="L335" s="135"/>
      <c r="M335" s="87">
        <f>K335</f>
        <v>0</v>
      </c>
      <c r="N335" s="88" t="e">
        <f>#REF!</f>
        <v>#REF!</v>
      </c>
      <c r="O335" s="135"/>
      <c r="P335" s="87" t="e">
        <f>K335-N335</f>
        <v>#REF!</v>
      </c>
    </row>
    <row r="336" spans="1:16" s="56" customFormat="1" ht="15.75" hidden="1" customHeight="1" x14ac:dyDescent="0.25">
      <c r="A336" s="41"/>
      <c r="B336" s="42" t="s">
        <v>19</v>
      </c>
      <c r="C336" s="43"/>
      <c r="D336" s="44"/>
      <c r="E336" s="45"/>
      <c r="F336" s="46"/>
      <c r="G336" s="47"/>
      <c r="H336" s="48"/>
      <c r="I336" s="49"/>
      <c r="J336" s="50"/>
      <c r="K336" s="51"/>
      <c r="L336" s="53"/>
      <c r="M336" s="54"/>
      <c r="N336" s="55"/>
      <c r="O336" s="53"/>
      <c r="P336" s="54"/>
    </row>
    <row r="337" spans="1:16" s="121" customFormat="1" ht="41.25" hidden="1" customHeight="1" x14ac:dyDescent="0.25">
      <c r="A337" s="78"/>
      <c r="B337" s="79"/>
      <c r="C337" s="275"/>
      <c r="D337" s="80"/>
      <c r="E337" s="81"/>
      <c r="F337" s="82"/>
      <c r="G337" s="83"/>
      <c r="H337" s="134"/>
      <c r="I337" s="84"/>
      <c r="J337" s="85"/>
      <c r="K337" s="86"/>
      <c r="L337" s="135"/>
      <c r="M337" s="87">
        <f t="shared" ref="M337:M357" si="59">K337</f>
        <v>0</v>
      </c>
      <c r="N337" s="160" t="e">
        <f>#REF!</f>
        <v>#REF!</v>
      </c>
      <c r="O337" s="135"/>
      <c r="P337" s="87" t="e">
        <f t="shared" ref="P337:P360" si="60">K337-N337</f>
        <v>#REF!</v>
      </c>
    </row>
    <row r="338" spans="1:16" s="121" customFormat="1" ht="29.25" hidden="1" customHeight="1" x14ac:dyDescent="0.25">
      <c r="A338" s="78"/>
      <c r="B338" s="79"/>
      <c r="C338" s="275"/>
      <c r="D338" s="80"/>
      <c r="E338" s="81"/>
      <c r="F338" s="82"/>
      <c r="G338" s="83"/>
      <c r="H338" s="134"/>
      <c r="I338" s="174"/>
      <c r="J338" s="85"/>
      <c r="K338" s="86"/>
      <c r="L338" s="135"/>
      <c r="M338" s="87">
        <f t="shared" si="59"/>
        <v>0</v>
      </c>
      <c r="N338" s="88" t="e">
        <f>#REF!</f>
        <v>#REF!</v>
      </c>
      <c r="O338" s="135"/>
      <c r="P338" s="87" t="e">
        <f t="shared" si="60"/>
        <v>#REF!</v>
      </c>
    </row>
    <row r="339" spans="1:16" s="9" customFormat="1" ht="13.2" hidden="1" x14ac:dyDescent="0.25">
      <c r="A339" s="78"/>
      <c r="B339" s="79"/>
      <c r="D339" s="80"/>
      <c r="E339" s="81"/>
      <c r="F339" s="82"/>
      <c r="G339" s="83"/>
      <c r="H339" s="114"/>
      <c r="I339" s="84"/>
      <c r="J339" s="85"/>
      <c r="K339" s="86"/>
      <c r="L339" s="115"/>
      <c r="M339" s="87">
        <f t="shared" si="59"/>
        <v>0</v>
      </c>
      <c r="N339" s="88" t="e">
        <f>#REF!</f>
        <v>#REF!</v>
      </c>
      <c r="O339" s="115"/>
      <c r="P339" s="87" t="e">
        <f t="shared" si="60"/>
        <v>#REF!</v>
      </c>
    </row>
    <row r="340" spans="1:16" s="180" customFormat="1" ht="13.2" hidden="1" x14ac:dyDescent="0.25">
      <c r="A340" s="122"/>
      <c r="B340" s="176"/>
      <c r="C340" s="276"/>
      <c r="D340" s="177"/>
      <c r="E340" s="178"/>
      <c r="F340" s="138"/>
      <c r="G340" s="165"/>
      <c r="H340" s="166"/>
      <c r="I340" s="167"/>
      <c r="J340" s="168"/>
      <c r="K340" s="126"/>
      <c r="L340" s="169"/>
      <c r="M340" s="128">
        <f t="shared" si="59"/>
        <v>0</v>
      </c>
      <c r="N340" s="179" t="e">
        <f>#REF!</f>
        <v>#REF!</v>
      </c>
      <c r="O340" s="169"/>
      <c r="P340" s="128" t="e">
        <f t="shared" si="60"/>
        <v>#REF!</v>
      </c>
    </row>
    <row r="341" spans="1:16" s="180" customFormat="1" ht="36.9" hidden="1" customHeight="1" x14ac:dyDescent="0.25">
      <c r="A341" s="122"/>
      <c r="B341" s="176"/>
      <c r="C341" s="276"/>
      <c r="D341" s="177"/>
      <c r="E341" s="178"/>
      <c r="F341" s="138"/>
      <c r="G341" s="165"/>
      <c r="H341" s="166"/>
      <c r="I341" s="167"/>
      <c r="J341" s="168"/>
      <c r="K341" s="126"/>
      <c r="L341" s="169"/>
      <c r="M341" s="128">
        <f t="shared" si="59"/>
        <v>0</v>
      </c>
      <c r="N341" s="179" t="e">
        <f>#REF!</f>
        <v>#REF!</v>
      </c>
      <c r="O341" s="169"/>
      <c r="P341" s="128" t="e">
        <f t="shared" si="60"/>
        <v>#REF!</v>
      </c>
    </row>
    <row r="342" spans="1:16" s="9" customFormat="1" ht="36.9" hidden="1" customHeight="1" x14ac:dyDescent="0.25">
      <c r="A342" s="78"/>
      <c r="B342" s="79"/>
      <c r="C342" s="275"/>
      <c r="D342" s="80"/>
      <c r="E342" s="81"/>
      <c r="F342" s="170"/>
      <c r="G342" s="172"/>
      <c r="H342" s="173"/>
      <c r="I342" s="174"/>
      <c r="J342" s="171"/>
      <c r="K342" s="175"/>
      <c r="L342" s="68"/>
      <c r="M342" s="87">
        <f t="shared" si="59"/>
        <v>0</v>
      </c>
      <c r="N342" s="88" t="e">
        <f>#REF!</f>
        <v>#REF!</v>
      </c>
      <c r="O342" s="68"/>
      <c r="P342" s="87" t="e">
        <f t="shared" si="60"/>
        <v>#REF!</v>
      </c>
    </row>
    <row r="343" spans="1:16" s="9" customFormat="1" ht="36.9" hidden="1" customHeight="1" x14ac:dyDescent="0.25">
      <c r="A343" s="78"/>
      <c r="B343" s="79"/>
      <c r="C343" s="275"/>
      <c r="D343" s="80"/>
      <c r="E343" s="81"/>
      <c r="F343" s="170"/>
      <c r="G343" s="172"/>
      <c r="H343" s="173"/>
      <c r="I343" s="174"/>
      <c r="J343" s="171"/>
      <c r="K343" s="175"/>
      <c r="L343" s="68"/>
      <c r="M343" s="87">
        <f t="shared" si="59"/>
        <v>0</v>
      </c>
      <c r="N343" s="88" t="e">
        <f>#REF!</f>
        <v>#REF!</v>
      </c>
      <c r="O343" s="68"/>
      <c r="P343" s="87" t="e">
        <f t="shared" si="60"/>
        <v>#REF!</v>
      </c>
    </row>
    <row r="344" spans="1:16" s="9" customFormat="1" ht="36.9" hidden="1" customHeight="1" x14ac:dyDescent="0.25">
      <c r="A344" s="78"/>
      <c r="B344" s="79"/>
      <c r="C344" s="275"/>
      <c r="D344" s="80"/>
      <c r="E344" s="81"/>
      <c r="F344" s="82"/>
      <c r="G344" s="83"/>
      <c r="H344" s="114"/>
      <c r="I344" s="84"/>
      <c r="J344" s="85"/>
      <c r="K344" s="86"/>
      <c r="L344" s="115"/>
      <c r="M344" s="87">
        <f t="shared" si="59"/>
        <v>0</v>
      </c>
      <c r="N344" s="160" t="e">
        <f>#REF!</f>
        <v>#REF!</v>
      </c>
      <c r="O344" s="115"/>
      <c r="P344" s="87" t="e">
        <f t="shared" si="60"/>
        <v>#REF!</v>
      </c>
    </row>
    <row r="345" spans="1:16" s="9" customFormat="1" ht="26.25" hidden="1" customHeight="1" x14ac:dyDescent="0.25">
      <c r="A345" s="78"/>
      <c r="B345" s="79"/>
      <c r="C345" s="275"/>
      <c r="D345" s="80"/>
      <c r="E345" s="81"/>
      <c r="F345" s="82"/>
      <c r="G345" s="83"/>
      <c r="H345" s="114"/>
      <c r="I345" s="84"/>
      <c r="J345" s="85"/>
      <c r="K345" s="86"/>
      <c r="L345" s="115"/>
      <c r="M345" s="87">
        <f t="shared" si="59"/>
        <v>0</v>
      </c>
      <c r="N345" s="88" t="e">
        <f>#REF!</f>
        <v>#REF!</v>
      </c>
      <c r="O345" s="68"/>
      <c r="P345" s="87" t="e">
        <f t="shared" si="60"/>
        <v>#REF!</v>
      </c>
    </row>
    <row r="346" spans="1:16" s="180" customFormat="1" ht="26.25" hidden="1" customHeight="1" x14ac:dyDescent="0.25">
      <c r="A346" s="122"/>
      <c r="B346" s="176"/>
      <c r="C346" s="277"/>
      <c r="D346" s="177"/>
      <c r="E346" s="178"/>
      <c r="F346" s="138"/>
      <c r="G346" s="165"/>
      <c r="H346" s="166"/>
      <c r="I346" s="84"/>
      <c r="J346" s="85"/>
      <c r="K346" s="86"/>
      <c r="L346" s="169"/>
      <c r="M346" s="128">
        <f t="shared" si="59"/>
        <v>0</v>
      </c>
      <c r="N346" s="160" t="e">
        <f>#REF!</f>
        <v>#REF!</v>
      </c>
      <c r="O346" s="169"/>
      <c r="P346" s="128" t="e">
        <f t="shared" si="60"/>
        <v>#REF!</v>
      </c>
    </row>
    <row r="347" spans="1:16" s="180" customFormat="1" ht="26.25" hidden="1" customHeight="1" x14ac:dyDescent="0.25">
      <c r="A347" s="122"/>
      <c r="B347" s="176"/>
      <c r="C347" s="139"/>
      <c r="D347" s="177"/>
      <c r="E347" s="178"/>
      <c r="F347" s="138"/>
      <c r="G347" s="165"/>
      <c r="H347" s="166"/>
      <c r="I347" s="84"/>
      <c r="J347" s="85"/>
      <c r="K347" s="86"/>
      <c r="L347" s="169"/>
      <c r="M347" s="128">
        <f t="shared" si="59"/>
        <v>0</v>
      </c>
      <c r="N347" s="160" t="e">
        <f>#REF!</f>
        <v>#REF!</v>
      </c>
      <c r="O347" s="169"/>
      <c r="P347" s="128" t="e">
        <f t="shared" si="60"/>
        <v>#REF!</v>
      </c>
    </row>
    <row r="348" spans="1:16" s="9" customFormat="1" ht="26.25" hidden="1" customHeight="1" x14ac:dyDescent="0.25">
      <c r="A348" s="78"/>
      <c r="B348" s="79"/>
      <c r="C348" s="182"/>
      <c r="D348" s="80"/>
      <c r="E348" s="81"/>
      <c r="F348" s="82"/>
      <c r="G348" s="83"/>
      <c r="H348" s="114"/>
      <c r="I348" s="84"/>
      <c r="J348" s="85"/>
      <c r="K348" s="86"/>
      <c r="L348" s="115"/>
      <c r="M348" s="87">
        <f t="shared" si="59"/>
        <v>0</v>
      </c>
      <c r="N348" s="181" t="e">
        <f>#REF!</f>
        <v>#REF!</v>
      </c>
      <c r="O348" s="68"/>
      <c r="P348" s="87" t="e">
        <f t="shared" si="60"/>
        <v>#REF!</v>
      </c>
    </row>
    <row r="349" spans="1:16" s="180" customFormat="1" ht="26.25" hidden="1" customHeight="1" x14ac:dyDescent="0.25">
      <c r="A349" s="122"/>
      <c r="B349" s="176"/>
      <c r="C349" s="139"/>
      <c r="D349" s="177"/>
      <c r="E349" s="178"/>
      <c r="F349" s="138"/>
      <c r="G349" s="165"/>
      <c r="H349" s="166"/>
      <c r="I349" s="167"/>
      <c r="J349" s="168"/>
      <c r="K349" s="126"/>
      <c r="L349" s="169"/>
      <c r="M349" s="128">
        <f t="shared" si="59"/>
        <v>0</v>
      </c>
      <c r="N349" s="179" t="e">
        <f>#REF!</f>
        <v>#REF!</v>
      </c>
      <c r="O349" s="169"/>
      <c r="P349" s="128" t="e">
        <f t="shared" si="60"/>
        <v>#REF!</v>
      </c>
    </row>
    <row r="350" spans="1:16" s="9" customFormat="1" ht="26.25" hidden="1" customHeight="1" x14ac:dyDescent="0.25">
      <c r="A350" s="78"/>
      <c r="B350" s="79"/>
      <c r="C350" s="182"/>
      <c r="D350" s="80"/>
      <c r="E350" s="81"/>
      <c r="F350" s="278"/>
      <c r="G350" s="83"/>
      <c r="H350" s="114"/>
      <c r="I350" s="174"/>
      <c r="J350" s="171"/>
      <c r="K350" s="86"/>
      <c r="L350" s="115"/>
      <c r="M350" s="87">
        <f t="shared" si="59"/>
        <v>0</v>
      </c>
      <c r="N350" s="88" t="e">
        <f>#REF!</f>
        <v>#REF!</v>
      </c>
      <c r="O350" s="68"/>
      <c r="P350" s="87" t="e">
        <f t="shared" si="60"/>
        <v>#REF!</v>
      </c>
    </row>
    <row r="351" spans="1:16" s="9" customFormat="1" ht="26.25" hidden="1" customHeight="1" x14ac:dyDescent="0.25">
      <c r="A351" s="78"/>
      <c r="B351" s="79"/>
      <c r="C351" s="182"/>
      <c r="D351" s="80"/>
      <c r="E351" s="81"/>
      <c r="F351" s="278"/>
      <c r="G351" s="83"/>
      <c r="H351" s="114"/>
      <c r="I351" s="174"/>
      <c r="J351" s="279"/>
      <c r="K351" s="86"/>
      <c r="L351" s="115"/>
      <c r="M351" s="87">
        <f t="shared" si="59"/>
        <v>0</v>
      </c>
      <c r="N351" s="88" t="e">
        <f>#REF!</f>
        <v>#REF!</v>
      </c>
      <c r="O351" s="68"/>
      <c r="P351" s="87" t="e">
        <f t="shared" si="60"/>
        <v>#REF!</v>
      </c>
    </row>
    <row r="352" spans="1:16" s="180" customFormat="1" ht="26.25" hidden="1" customHeight="1" x14ac:dyDescent="0.25">
      <c r="A352" s="122"/>
      <c r="B352" s="176"/>
      <c r="C352" s="139"/>
      <c r="D352" s="177"/>
      <c r="E352" s="178"/>
      <c r="F352" s="280"/>
      <c r="G352" s="165"/>
      <c r="H352" s="166"/>
      <c r="I352" s="167"/>
      <c r="J352" s="281"/>
      <c r="K352" s="126"/>
      <c r="L352" s="169"/>
      <c r="M352" s="128">
        <f t="shared" si="59"/>
        <v>0</v>
      </c>
      <c r="N352" s="179" t="e">
        <f>#REF!</f>
        <v>#REF!</v>
      </c>
      <c r="O352" s="169"/>
      <c r="P352" s="128" t="e">
        <f t="shared" si="60"/>
        <v>#REF!</v>
      </c>
    </row>
    <row r="353" spans="1:16" s="9" customFormat="1" ht="43.5" hidden="1" customHeight="1" x14ac:dyDescent="0.25">
      <c r="A353" s="78"/>
      <c r="B353" s="79"/>
      <c r="C353" s="182"/>
      <c r="D353" s="80"/>
      <c r="E353" s="81"/>
      <c r="F353" s="278"/>
      <c r="G353" s="83"/>
      <c r="H353" s="114"/>
      <c r="I353" s="84"/>
      <c r="J353" s="282"/>
      <c r="K353" s="86"/>
      <c r="L353" s="115"/>
      <c r="M353" s="87">
        <f t="shared" si="59"/>
        <v>0</v>
      </c>
      <c r="N353" s="88" t="e">
        <f>#REF!</f>
        <v>#REF!</v>
      </c>
      <c r="O353" s="115"/>
      <c r="P353" s="87" t="e">
        <f t="shared" si="60"/>
        <v>#REF!</v>
      </c>
    </row>
    <row r="354" spans="1:16" s="9" customFormat="1" ht="31.65" hidden="1" customHeight="1" x14ac:dyDescent="0.25">
      <c r="A354" s="78"/>
      <c r="B354" s="79"/>
      <c r="C354" s="182"/>
      <c r="D354" s="80"/>
      <c r="E354" s="81"/>
      <c r="F354" s="278"/>
      <c r="G354" s="83"/>
      <c r="H354" s="114"/>
      <c r="I354" s="174"/>
      <c r="J354" s="279"/>
      <c r="K354" s="86"/>
      <c r="L354" s="115"/>
      <c r="M354" s="87">
        <f t="shared" si="59"/>
        <v>0</v>
      </c>
      <c r="N354" s="88" t="e">
        <f>#REF!</f>
        <v>#REF!</v>
      </c>
      <c r="O354" s="68"/>
      <c r="P354" s="87" t="e">
        <f t="shared" si="60"/>
        <v>#REF!</v>
      </c>
    </row>
    <row r="355" spans="1:16" s="9" customFormat="1" ht="32.25" hidden="1" customHeight="1" x14ac:dyDescent="0.25">
      <c r="A355" s="78"/>
      <c r="B355" s="79"/>
      <c r="C355" s="182"/>
      <c r="D355" s="80"/>
      <c r="E355" s="81"/>
      <c r="F355" s="82"/>
      <c r="G355" s="83"/>
      <c r="H355" s="114"/>
      <c r="I355" s="174"/>
      <c r="J355" s="171"/>
      <c r="K355" s="86"/>
      <c r="L355" s="115"/>
      <c r="M355" s="87">
        <f t="shared" si="59"/>
        <v>0</v>
      </c>
      <c r="N355" s="88" t="e">
        <f>#REF!</f>
        <v>#REF!</v>
      </c>
      <c r="O355" s="68"/>
      <c r="P355" s="87" t="e">
        <f t="shared" si="60"/>
        <v>#REF!</v>
      </c>
    </row>
    <row r="356" spans="1:16" s="9" customFormat="1" ht="26.25" hidden="1" customHeight="1" x14ac:dyDescent="0.25">
      <c r="A356" s="78"/>
      <c r="B356" s="79"/>
      <c r="C356" s="275"/>
      <c r="D356" s="80"/>
      <c r="E356" s="81"/>
      <c r="F356" s="82"/>
      <c r="G356" s="283"/>
      <c r="H356" s="114"/>
      <c r="I356" s="174"/>
      <c r="J356" s="171"/>
      <c r="K356" s="86"/>
      <c r="L356" s="115"/>
      <c r="M356" s="87">
        <f t="shared" si="59"/>
        <v>0</v>
      </c>
      <c r="N356" s="88" t="e">
        <f>#REF!</f>
        <v>#REF!</v>
      </c>
      <c r="O356" s="68"/>
      <c r="P356" s="87" t="e">
        <f t="shared" si="60"/>
        <v>#REF!</v>
      </c>
    </row>
    <row r="357" spans="1:16" s="9" customFormat="1" ht="26.25" hidden="1" customHeight="1" x14ac:dyDescent="0.25">
      <c r="A357" s="78"/>
      <c r="B357" s="79"/>
      <c r="C357" s="182"/>
      <c r="D357" s="80"/>
      <c r="E357" s="81"/>
      <c r="F357" s="82"/>
      <c r="G357" s="80"/>
      <c r="H357" s="114"/>
      <c r="I357" s="174"/>
      <c r="J357" s="171"/>
      <c r="K357" s="86"/>
      <c r="L357" s="115"/>
      <c r="M357" s="87">
        <f t="shared" si="59"/>
        <v>0</v>
      </c>
      <c r="N357" s="88" t="e">
        <f>#REF!</f>
        <v>#REF!</v>
      </c>
      <c r="O357" s="68"/>
      <c r="P357" s="87" t="e">
        <f t="shared" si="60"/>
        <v>#REF!</v>
      </c>
    </row>
    <row r="358" spans="1:16" s="9" customFormat="1" ht="26.25" hidden="1" customHeight="1" x14ac:dyDescent="0.25">
      <c r="A358" s="78"/>
      <c r="B358" s="79"/>
      <c r="C358" s="182"/>
      <c r="D358" s="80"/>
      <c r="E358" s="81"/>
      <c r="F358" s="82"/>
      <c r="G358" s="80"/>
      <c r="H358" s="114"/>
      <c r="I358" s="174"/>
      <c r="J358" s="171"/>
      <c r="K358" s="86"/>
      <c r="L358" s="115"/>
      <c r="M358" s="87"/>
      <c r="N358" s="88" t="e">
        <f>#REF!</f>
        <v>#REF!</v>
      </c>
      <c r="O358" s="68"/>
      <c r="P358" s="87" t="e">
        <f t="shared" si="60"/>
        <v>#REF!</v>
      </c>
    </row>
    <row r="359" spans="1:16" s="9" customFormat="1" ht="26.25" hidden="1" customHeight="1" x14ac:dyDescent="0.25">
      <c r="A359" s="78"/>
      <c r="B359" s="79"/>
      <c r="C359" s="182"/>
      <c r="D359" s="80"/>
      <c r="E359" s="81"/>
      <c r="F359" s="82"/>
      <c r="G359" s="80"/>
      <c r="H359" s="114"/>
      <c r="I359" s="174"/>
      <c r="J359" s="171"/>
      <c r="K359" s="86"/>
      <c r="L359" s="115"/>
      <c r="M359" s="87"/>
      <c r="N359" s="88" t="e">
        <f>#REF!</f>
        <v>#REF!</v>
      </c>
      <c r="O359" s="68"/>
      <c r="P359" s="87" t="e">
        <f t="shared" si="60"/>
        <v>#REF!</v>
      </c>
    </row>
    <row r="360" spans="1:16" s="9" customFormat="1" ht="26.25" hidden="1" customHeight="1" x14ac:dyDescent="0.25">
      <c r="A360" s="78"/>
      <c r="B360" s="79"/>
      <c r="C360" s="182"/>
      <c r="D360" s="80"/>
      <c r="E360" s="81"/>
      <c r="F360" s="82"/>
      <c r="G360" s="80"/>
      <c r="H360" s="114"/>
      <c r="I360" s="174"/>
      <c r="J360" s="171"/>
      <c r="K360" s="86"/>
      <c r="L360" s="115"/>
      <c r="M360" s="87"/>
      <c r="N360" s="88" t="e">
        <f>#REF!</f>
        <v>#REF!</v>
      </c>
      <c r="O360" s="68"/>
      <c r="P360" s="87" t="e">
        <f t="shared" si="60"/>
        <v>#REF!</v>
      </c>
    </row>
    <row r="361" spans="1:16" s="56" customFormat="1" ht="26.25" hidden="1" customHeight="1" x14ac:dyDescent="0.25">
      <c r="A361" s="41"/>
      <c r="B361" s="96" t="s">
        <v>37</v>
      </c>
      <c r="C361" s="96"/>
      <c r="D361" s="222"/>
      <c r="E361" s="50"/>
      <c r="F361" s="46"/>
      <c r="G361" s="47"/>
      <c r="H361" s="258"/>
      <c r="I361" s="284"/>
      <c r="J361" s="285"/>
      <c r="K361" s="51"/>
      <c r="L361" s="221"/>
      <c r="M361" s="222"/>
      <c r="N361" s="222"/>
      <c r="O361" s="221"/>
      <c r="P361" s="222"/>
    </row>
    <row r="362" spans="1:16" s="121" customFormat="1" ht="26.25" hidden="1" customHeight="1" x14ac:dyDescent="0.25">
      <c r="A362" s="116"/>
      <c r="B362" s="117"/>
      <c r="C362" s="72"/>
      <c r="D362" s="73"/>
      <c r="E362" s="254"/>
      <c r="F362" s="170"/>
      <c r="G362" s="83"/>
      <c r="H362" s="134"/>
      <c r="I362" s="75"/>
      <c r="J362" s="76"/>
      <c r="K362" s="120"/>
      <c r="L362" s="91"/>
      <c r="M362" s="87">
        <f>K362</f>
        <v>0</v>
      </c>
      <c r="N362" s="88"/>
      <c r="O362" s="91"/>
      <c r="P362" s="87">
        <f>K362-N362</f>
        <v>0</v>
      </c>
    </row>
    <row r="363" spans="1:16" s="296" customFormat="1" ht="26.25" hidden="1" customHeight="1" x14ac:dyDescent="0.25">
      <c r="A363" s="286"/>
      <c r="B363" s="287" t="s">
        <v>39</v>
      </c>
      <c r="C363" s="287"/>
      <c r="D363" s="288"/>
      <c r="E363" s="415"/>
      <c r="F363" s="289"/>
      <c r="G363" s="290"/>
      <c r="H363" s="291"/>
      <c r="I363" s="292"/>
      <c r="J363" s="293"/>
      <c r="K363" s="294"/>
      <c r="L363" s="295"/>
      <c r="M363" s="288"/>
      <c r="N363" s="288"/>
      <c r="O363" s="295"/>
      <c r="P363" s="288"/>
    </row>
    <row r="364" spans="1:16" s="121" customFormat="1" ht="26.25" hidden="1" customHeight="1" x14ac:dyDescent="0.25">
      <c r="A364" s="116"/>
      <c r="B364" s="117"/>
      <c r="C364" s="72"/>
      <c r="D364" s="73"/>
      <c r="E364" s="254"/>
      <c r="F364" s="297"/>
      <c r="G364" s="83"/>
      <c r="H364" s="134"/>
      <c r="I364" s="298"/>
      <c r="J364" s="299"/>
      <c r="K364" s="120"/>
      <c r="L364" s="91"/>
      <c r="M364" s="87">
        <f>K364</f>
        <v>0</v>
      </c>
      <c r="N364" s="88"/>
      <c r="O364" s="91"/>
      <c r="P364" s="87">
        <f>K364-N364</f>
        <v>0</v>
      </c>
    </row>
    <row r="365" spans="1:16" s="56" customFormat="1" ht="15" hidden="1" x14ac:dyDescent="0.25">
      <c r="A365" s="41"/>
      <c r="B365" s="96" t="s">
        <v>38</v>
      </c>
      <c r="C365" s="96"/>
      <c r="D365" s="44"/>
      <c r="E365" s="45"/>
      <c r="F365" s="46"/>
      <c r="G365" s="47"/>
      <c r="H365" s="48"/>
      <c r="I365" s="49"/>
      <c r="J365" s="50"/>
      <c r="K365" s="51"/>
      <c r="L365" s="53"/>
      <c r="M365" s="54"/>
      <c r="N365" s="55"/>
      <c r="O365" s="53"/>
      <c r="P365" s="54"/>
    </row>
    <row r="366" spans="1:16" s="121" customFormat="1" ht="15" hidden="1" x14ac:dyDescent="0.25">
      <c r="A366" s="116"/>
      <c r="B366" s="117"/>
      <c r="C366" s="300"/>
      <c r="D366" s="73"/>
      <c r="E366" s="81"/>
      <c r="F366" s="170"/>
      <c r="G366" s="172"/>
      <c r="H366" s="260"/>
      <c r="I366" s="301"/>
      <c r="J366" s="302"/>
      <c r="K366" s="303"/>
      <c r="L366" s="304"/>
      <c r="M366" s="87">
        <f>K366</f>
        <v>0</v>
      </c>
      <c r="N366" s="88"/>
      <c r="O366" s="91"/>
      <c r="P366" s="87">
        <f>K366-N366</f>
        <v>0</v>
      </c>
    </row>
    <row r="367" spans="1:16" s="9" customFormat="1" ht="15" hidden="1" x14ac:dyDescent="0.25">
      <c r="A367" s="255"/>
      <c r="B367" s="256"/>
      <c r="C367" s="305"/>
      <c r="D367" s="254"/>
      <c r="E367" s="81"/>
      <c r="F367" s="170"/>
      <c r="G367" s="172"/>
      <c r="H367" s="173"/>
      <c r="I367" s="301"/>
      <c r="J367" s="302"/>
      <c r="K367" s="303"/>
      <c r="L367" s="304"/>
      <c r="M367" s="87">
        <f>K367</f>
        <v>0</v>
      </c>
      <c r="N367" s="88"/>
      <c r="O367" s="91"/>
      <c r="P367" s="87">
        <f>K367-N367</f>
        <v>0</v>
      </c>
    </row>
    <row r="368" spans="1:16" s="9" customFormat="1" ht="13.2" hidden="1" x14ac:dyDescent="0.25">
      <c r="A368" s="255"/>
      <c r="B368" s="256"/>
      <c r="C368" s="374"/>
      <c r="D368" s="254"/>
      <c r="E368" s="74"/>
      <c r="F368" s="170"/>
      <c r="G368" s="172"/>
      <c r="H368" s="173"/>
      <c r="I368" s="301"/>
      <c r="J368" s="302"/>
      <c r="K368" s="303"/>
      <c r="L368" s="306"/>
      <c r="M368" s="87">
        <f>K368</f>
        <v>0</v>
      </c>
      <c r="N368" s="88"/>
      <c r="O368" s="91"/>
      <c r="P368" s="87">
        <f>K368-N368</f>
        <v>0</v>
      </c>
    </row>
    <row r="369" spans="1:18" s="9" customFormat="1" ht="13.2" hidden="1" x14ac:dyDescent="0.25">
      <c r="A369" s="255"/>
      <c r="B369" s="256"/>
      <c r="C369" s="374"/>
      <c r="D369" s="254"/>
      <c r="E369" s="74"/>
      <c r="F369" s="170"/>
      <c r="G369" s="172"/>
      <c r="H369" s="173"/>
      <c r="I369" s="301"/>
      <c r="J369" s="302"/>
      <c r="K369" s="303"/>
      <c r="L369" s="307"/>
      <c r="M369" s="87">
        <f>K369</f>
        <v>0</v>
      </c>
      <c r="N369" s="88"/>
      <c r="O369" s="91"/>
      <c r="P369" s="87">
        <f>K369-N369</f>
        <v>0</v>
      </c>
    </row>
    <row r="370" spans="1:18" s="180" customFormat="1" ht="27.9" hidden="1" customHeight="1" x14ac:dyDescent="0.25">
      <c r="A370" s="262"/>
      <c r="B370" s="263"/>
      <c r="C370" s="264"/>
      <c r="D370" s="308"/>
      <c r="E370" s="309"/>
      <c r="F370" s="310"/>
      <c r="G370" s="311"/>
      <c r="H370" s="166"/>
      <c r="I370" s="301"/>
      <c r="J370" s="302"/>
      <c r="K370" s="303"/>
      <c r="L370" s="169"/>
      <c r="M370" s="312">
        <f>K370</f>
        <v>0</v>
      </c>
      <c r="N370" s="313"/>
      <c r="O370" s="304"/>
      <c r="P370" s="312">
        <f>K370-N370</f>
        <v>0</v>
      </c>
    </row>
    <row r="371" spans="1:18" s="154" customFormat="1" ht="22.65" hidden="1" customHeight="1" collapsed="1" x14ac:dyDescent="0.25">
      <c r="A371" s="143" t="s">
        <v>3</v>
      </c>
      <c r="B371" s="144"/>
      <c r="C371" s="145"/>
      <c r="D371" s="146"/>
      <c r="E371" s="146"/>
      <c r="F371" s="147"/>
      <c r="G371" s="147"/>
      <c r="H371" s="148"/>
      <c r="I371" s="149"/>
      <c r="J371" s="184"/>
      <c r="K371" s="150"/>
      <c r="L371" s="152"/>
      <c r="M371" s="153"/>
      <c r="N371" s="153"/>
      <c r="O371" s="152"/>
      <c r="P371" s="153"/>
    </row>
    <row r="372" spans="1:18" s="40" customFormat="1" ht="23.25" hidden="1" customHeight="1" x14ac:dyDescent="0.3">
      <c r="A372" s="35" t="s">
        <v>11</v>
      </c>
      <c r="B372" s="36"/>
      <c r="C372" s="37"/>
      <c r="D372" s="38"/>
      <c r="E372" s="38"/>
      <c r="F372" s="39"/>
      <c r="G372" s="39"/>
      <c r="H372" s="155"/>
      <c r="J372" s="156"/>
      <c r="K372" s="157"/>
      <c r="L372" s="155"/>
      <c r="M372" s="158"/>
      <c r="N372" s="158"/>
      <c r="O372" s="155"/>
      <c r="P372" s="158"/>
    </row>
    <row r="373" spans="1:18" s="9" customFormat="1" ht="16.5" hidden="1" customHeight="1" x14ac:dyDescent="0.25">
      <c r="A373" s="97"/>
      <c r="B373" s="96"/>
      <c r="C373" s="96"/>
      <c r="D373" s="98"/>
      <c r="E373" s="99"/>
      <c r="F373" s="100"/>
      <c r="G373" s="101"/>
      <c r="H373" s="102"/>
      <c r="I373" s="103"/>
      <c r="J373" s="105"/>
      <c r="K373" s="106"/>
      <c r="L373" s="53"/>
      <c r="M373" s="54"/>
      <c r="N373" s="55"/>
      <c r="O373" s="53"/>
      <c r="P373" s="54"/>
    </row>
    <row r="374" spans="1:18" s="121" customFormat="1" ht="30.75" hidden="1" customHeight="1" x14ac:dyDescent="0.25">
      <c r="A374" s="78"/>
      <c r="B374" s="79"/>
      <c r="C374" s="183"/>
      <c r="D374" s="60"/>
      <c r="E374" s="107"/>
      <c r="F374" s="82"/>
      <c r="G374" s="83"/>
      <c r="H374" s="134"/>
      <c r="I374" s="84"/>
      <c r="J374" s="85"/>
      <c r="K374" s="86"/>
      <c r="L374" s="135"/>
      <c r="M374" s="87">
        <f>K374</f>
        <v>0</v>
      </c>
      <c r="N374" s="88" t="e">
        <f>#REF!</f>
        <v>#REF!</v>
      </c>
      <c r="O374" s="135"/>
      <c r="P374" s="87" t="e">
        <f>K374-N374</f>
        <v>#REF!</v>
      </c>
    </row>
    <row r="375" spans="1:18" s="154" customFormat="1" ht="22.65" hidden="1" customHeight="1" x14ac:dyDescent="0.25">
      <c r="A375" s="143" t="s">
        <v>21</v>
      </c>
      <c r="B375" s="144"/>
      <c r="C375" s="145"/>
      <c r="D375" s="146"/>
      <c r="E375" s="146"/>
      <c r="F375" s="147"/>
      <c r="G375" s="147"/>
      <c r="H375" s="148"/>
      <c r="I375" s="149"/>
      <c r="J375" s="184"/>
      <c r="K375" s="150"/>
      <c r="L375" s="152"/>
      <c r="M375" s="153"/>
      <c r="N375" s="151"/>
      <c r="O375" s="152"/>
      <c r="P375" s="153"/>
    </row>
    <row r="376" spans="1:18" s="195" customFormat="1" ht="21" hidden="1" customHeight="1" x14ac:dyDescent="0.25">
      <c r="A376" s="185" t="s">
        <v>24</v>
      </c>
      <c r="B376" s="186"/>
      <c r="C376" s="187"/>
      <c r="D376" s="188"/>
      <c r="E376" s="188"/>
      <c r="F376" s="189"/>
      <c r="G376" s="189"/>
      <c r="H376" s="190"/>
      <c r="I376" s="191"/>
      <c r="J376" s="186"/>
      <c r="K376" s="192"/>
      <c r="L376" s="194"/>
      <c r="M376" s="192"/>
      <c r="N376" s="193"/>
      <c r="O376" s="194"/>
      <c r="P376" s="192"/>
    </row>
    <row r="377" spans="1:18" s="195" customFormat="1" ht="27.9" hidden="1" customHeight="1" x14ac:dyDescent="0.25">
      <c r="A377" s="314" t="s">
        <v>25</v>
      </c>
      <c r="B377" s="315"/>
      <c r="C377" s="316"/>
      <c r="D377" s="317"/>
      <c r="E377" s="317"/>
      <c r="F377" s="318"/>
      <c r="G377" s="318"/>
      <c r="H377" s="319"/>
      <c r="I377" s="320"/>
      <c r="J377" s="315"/>
      <c r="K377" s="321"/>
      <c r="L377" s="194"/>
      <c r="M377" s="322">
        <f t="shared" ref="M377:N377" si="61">M376+M302</f>
        <v>1102</v>
      </c>
      <c r="N377" s="322">
        <f t="shared" si="61"/>
        <v>155</v>
      </c>
      <c r="O377" s="194"/>
      <c r="P377" s="322">
        <f>P376+P302</f>
        <v>949</v>
      </c>
    </row>
    <row r="378" spans="1:18" s="327" customFormat="1" ht="13.2" hidden="1" x14ac:dyDescent="0.25">
      <c r="A378" s="323"/>
      <c r="B378" s="323"/>
      <c r="C378" s="324"/>
      <c r="D378" s="325"/>
      <c r="E378" s="416"/>
      <c r="F378" s="325"/>
      <c r="G378" s="325"/>
      <c r="H378" s="326"/>
      <c r="J378" s="323"/>
      <c r="K378" s="323"/>
      <c r="L378" s="326"/>
      <c r="M378" s="323"/>
      <c r="N378" s="323"/>
      <c r="O378" s="326"/>
      <c r="P378" s="323"/>
    </row>
    <row r="379" spans="1:18" ht="22.65" hidden="1" customHeight="1" x14ac:dyDescent="0.25"/>
    <row r="380" spans="1:18" ht="22.65" hidden="1" customHeight="1" x14ac:dyDescent="0.25"/>
    <row r="382" spans="1:18" s="9" customFormat="1" ht="22.65" customHeight="1" x14ac:dyDescent="0.25">
      <c r="A382" s="2"/>
      <c r="B382" s="2"/>
      <c r="C382" s="3"/>
      <c r="D382" s="4"/>
      <c r="E382" s="4"/>
      <c r="F382" s="5"/>
      <c r="G382" s="5"/>
      <c r="H382" s="6"/>
      <c r="I382" s="7"/>
      <c r="J382" s="2"/>
      <c r="K382" s="8"/>
      <c r="L382" s="6"/>
      <c r="M382" s="8"/>
      <c r="N382" s="8"/>
      <c r="O382" s="6"/>
      <c r="P382" s="8"/>
      <c r="Q382" s="10"/>
    </row>
    <row r="383" spans="1:18" ht="22.65" customHeight="1" x14ac:dyDescent="0.25">
      <c r="R383" s="483" t="s">
        <v>93</v>
      </c>
    </row>
  </sheetData>
  <dataConsolidate/>
  <mergeCells count="42">
    <mergeCell ref="C306:C307"/>
    <mergeCell ref="C261:C263"/>
    <mergeCell ref="B277:C277"/>
    <mergeCell ref="B278:C278"/>
    <mergeCell ref="B279:C279"/>
    <mergeCell ref="B280:C280"/>
    <mergeCell ref="C250:C255"/>
    <mergeCell ref="C153:C172"/>
    <mergeCell ref="C174:C186"/>
    <mergeCell ref="C187:C188"/>
    <mergeCell ref="C189:C193"/>
    <mergeCell ref="C194:C196"/>
    <mergeCell ref="C201:C203"/>
    <mergeCell ref="C206:C207"/>
    <mergeCell ref="C211:C212"/>
    <mergeCell ref="C221:C222"/>
    <mergeCell ref="C230:C231"/>
    <mergeCell ref="C232:C233"/>
    <mergeCell ref="C146:C148"/>
    <mergeCell ref="C50:C51"/>
    <mergeCell ref="C70:C73"/>
    <mergeCell ref="C83:C84"/>
    <mergeCell ref="C88:C90"/>
    <mergeCell ref="C92:C93"/>
    <mergeCell ref="C104:C105"/>
    <mergeCell ref="C106:C114"/>
    <mergeCell ref="C115:C119"/>
    <mergeCell ref="C124:C125"/>
    <mergeCell ref="C140:C141"/>
    <mergeCell ref="C143:C144"/>
    <mergeCell ref="C52:C53"/>
    <mergeCell ref="C33:C34"/>
    <mergeCell ref="C35:C37"/>
    <mergeCell ref="C39:C40"/>
    <mergeCell ref="C43:C44"/>
    <mergeCell ref="A7:L7"/>
    <mergeCell ref="M7:O8"/>
    <mergeCell ref="P7:P9"/>
    <mergeCell ref="A8:D9"/>
    <mergeCell ref="E8:E10"/>
    <mergeCell ref="F8:G9"/>
    <mergeCell ref="I8:K8"/>
  </mergeCells>
  <phoneticPr fontId="65" type="noConversion"/>
  <printOptions horizontalCentered="1"/>
  <pageMargins left="0.25" right="0.25" top="0.75" bottom="0.75" header="0.3" footer="0.3"/>
  <pageSetup paperSize="9" scale="82" fitToHeight="0" orientation="landscape" r:id="rId1"/>
  <headerFooter>
    <oddHeader xml:space="preserve">&amp;R  </oddHeader>
    <oddFooter>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74"/>
  <sheetViews>
    <sheetView view="pageBreakPreview" topLeftCell="A4" zoomScale="142" zoomScaleNormal="80" zoomScaleSheetLayoutView="142" workbookViewId="0">
      <pane xSplit="2" ySplit="7" topLeftCell="C92" activePane="bottomRight" state="frozen"/>
      <selection activeCell="A4" sqref="A4"/>
      <selection pane="topRight" activeCell="C4" sqref="C4"/>
      <selection pane="bottomLeft" activeCell="A13" sqref="A13"/>
      <selection pane="bottomRight" activeCell="J45" sqref="J45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8" customWidth="1"/>
    <col min="4" max="4" width="12.44140625" style="4" customWidth="1"/>
    <col min="5" max="5" width="14.109375" style="4" customWidth="1"/>
    <col min="6" max="6" width="14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6" ht="13.2" x14ac:dyDescent="0.25">
      <c r="M1" s="9"/>
      <c r="N1" s="9"/>
      <c r="P1" s="9"/>
    </row>
    <row r="2" spans="1:16" ht="13.2" x14ac:dyDescent="0.25">
      <c r="M2" s="9"/>
      <c r="N2" s="9"/>
      <c r="P2" s="9"/>
    </row>
    <row r="3" spans="1:16" ht="13.2" x14ac:dyDescent="0.25">
      <c r="M3" s="9"/>
      <c r="N3" s="9"/>
      <c r="P3" s="9"/>
    </row>
    <row r="4" spans="1:16" s="17" customFormat="1" ht="29.25" customHeight="1" x14ac:dyDescent="0.4">
      <c r="A4" s="11"/>
      <c r="B4" s="11"/>
      <c r="C4" s="635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6" s="24" customFormat="1" ht="20.25" customHeight="1" x14ac:dyDescent="0.35">
      <c r="A5" s="18"/>
      <c r="B5" s="18"/>
      <c r="C5" s="636"/>
      <c r="D5" s="20"/>
      <c r="E5" s="412"/>
      <c r="F5" s="21"/>
      <c r="G5" s="21"/>
      <c r="H5" s="22"/>
      <c r="I5" s="23" t="s">
        <v>736</v>
      </c>
      <c r="J5" s="23"/>
      <c r="K5" s="23"/>
      <c r="L5" s="22"/>
      <c r="M5" s="23"/>
      <c r="N5" s="23"/>
      <c r="O5" s="22"/>
      <c r="P5" s="23"/>
    </row>
    <row r="6" spans="1:16" s="9" customFormat="1" ht="12" customHeight="1" x14ac:dyDescent="0.25">
      <c r="A6" s="8"/>
      <c r="B6" s="8"/>
      <c r="C6" s="637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6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6" s="9" customFormat="1" ht="15" x14ac:dyDescent="0.25">
      <c r="A8" s="775" t="s">
        <v>13</v>
      </c>
      <c r="B8" s="775"/>
      <c r="C8" s="775"/>
      <c r="D8" s="776"/>
      <c r="E8" s="779" t="s">
        <v>48</v>
      </c>
      <c r="F8" s="678"/>
      <c r="G8" s="679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6" s="9" customFormat="1" ht="15.75" customHeight="1" x14ac:dyDescent="0.25">
      <c r="A9" s="777"/>
      <c r="B9" s="777"/>
      <c r="C9" s="777"/>
      <c r="D9" s="778"/>
      <c r="E9" s="780"/>
      <c r="F9" s="680"/>
      <c r="G9" s="681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6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686"/>
      <c r="I10" s="31" t="s">
        <v>9</v>
      </c>
      <c r="J10" s="32" t="s">
        <v>0</v>
      </c>
      <c r="K10" s="32" t="s">
        <v>349</v>
      </c>
      <c r="L10" s="687"/>
      <c r="M10" s="33" t="s">
        <v>15</v>
      </c>
      <c r="N10" s="33" t="s">
        <v>15</v>
      </c>
      <c r="O10" s="686"/>
      <c r="P10" s="33" t="s">
        <v>15</v>
      </c>
    </row>
    <row r="11" spans="1:16" s="40" customFormat="1" ht="30" customHeight="1" x14ac:dyDescent="0.3">
      <c r="A11" s="199" t="s">
        <v>6</v>
      </c>
      <c r="B11" s="200"/>
      <c r="C11" s="645"/>
      <c r="D11" s="407"/>
      <c r="E11" s="407"/>
      <c r="F11" s="408"/>
      <c r="G11" s="408"/>
      <c r="H11" s="155"/>
      <c r="J11" s="409"/>
      <c r="K11" s="204"/>
      <c r="L11" s="155"/>
      <c r="M11" s="159"/>
      <c r="N11" s="159"/>
      <c r="O11" s="155"/>
      <c r="P11" s="159"/>
    </row>
    <row r="12" spans="1:16" s="56" customFormat="1" ht="15" x14ac:dyDescent="0.25">
      <c r="A12" s="361"/>
      <c r="B12" s="334" t="s">
        <v>44</v>
      </c>
      <c r="C12" s="639"/>
      <c r="D12" s="44"/>
      <c r="E12" s="45"/>
      <c r="F12" s="569">
        <f>SUM(F13:F20)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6" s="9" customFormat="1" ht="27.9" customHeight="1" x14ac:dyDescent="0.25">
      <c r="A13" s="78"/>
      <c r="B13" s="79"/>
      <c r="C13" s="86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88">
        <v>1</v>
      </c>
      <c r="N13" s="689"/>
      <c r="O13" s="357"/>
      <c r="P13" s="434">
        <f t="shared" ref="P13" si="0">M13-N13</f>
        <v>1</v>
      </c>
    </row>
    <row r="14" spans="1:16" s="9" customFormat="1" ht="27.9" customHeight="1" x14ac:dyDescent="0.25">
      <c r="A14" s="78"/>
      <c r="B14" s="79"/>
      <c r="C14" s="86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692">
        <f t="shared" ref="M14:M19" si="1">K14</f>
        <v>1</v>
      </c>
      <c r="N14" s="693"/>
      <c r="O14" s="332"/>
      <c r="P14" s="435">
        <f t="shared" ref="P14:P17" si="2">K14-N14</f>
        <v>1</v>
      </c>
    </row>
    <row r="15" spans="1:16" s="9" customFormat="1" ht="27.9" customHeight="1" x14ac:dyDescent="0.25">
      <c r="A15" s="78"/>
      <c r="B15" s="79"/>
      <c r="C15" s="86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692">
        <f t="shared" si="1"/>
        <v>1</v>
      </c>
      <c r="N15" s="693"/>
      <c r="O15" s="332"/>
      <c r="P15" s="435">
        <f t="shared" si="2"/>
        <v>1</v>
      </c>
    </row>
    <row r="16" spans="1:16" s="9" customFormat="1" ht="37.5" customHeight="1" x14ac:dyDescent="0.25">
      <c r="A16" s="78"/>
      <c r="B16" s="79"/>
      <c r="C16" s="472"/>
      <c r="D16" s="351"/>
      <c r="E16" s="341" t="s">
        <v>634</v>
      </c>
      <c r="F16" s="566"/>
      <c r="G16" s="83">
        <v>45266</v>
      </c>
      <c r="H16" s="429"/>
      <c r="I16" s="468" t="s">
        <v>633</v>
      </c>
      <c r="J16" s="335" t="s">
        <v>320</v>
      </c>
      <c r="K16" s="431">
        <v>3</v>
      </c>
      <c r="L16" s="430"/>
      <c r="M16" s="692">
        <f>K16</f>
        <v>3</v>
      </c>
      <c r="N16" s="694"/>
      <c r="O16" s="332"/>
      <c r="P16" s="435">
        <f>M16-N16</f>
        <v>3</v>
      </c>
    </row>
    <row r="17" spans="1:17" s="9" customFormat="1" ht="37.5" customHeight="1" x14ac:dyDescent="0.25">
      <c r="A17" s="78"/>
      <c r="B17" s="79"/>
      <c r="C17" s="471" t="s">
        <v>763</v>
      </c>
      <c r="D17" s="350">
        <v>45361</v>
      </c>
      <c r="E17" s="341" t="s">
        <v>50</v>
      </c>
      <c r="F17" s="567"/>
      <c r="G17" s="83">
        <v>45259</v>
      </c>
      <c r="H17" s="429"/>
      <c r="I17" s="468" t="s">
        <v>591</v>
      </c>
      <c r="J17" s="336" t="s">
        <v>592</v>
      </c>
      <c r="K17" s="667">
        <v>2</v>
      </c>
      <c r="L17" s="430"/>
      <c r="M17" s="692">
        <f t="shared" si="1"/>
        <v>2</v>
      </c>
      <c r="N17" s="693"/>
      <c r="O17" s="332"/>
      <c r="P17" s="435">
        <f t="shared" si="2"/>
        <v>2</v>
      </c>
    </row>
    <row r="18" spans="1:17" s="9" customFormat="1" ht="36.75" customHeight="1" x14ac:dyDescent="0.25">
      <c r="A18" s="78"/>
      <c r="B18" s="79"/>
      <c r="C18" s="547" t="s">
        <v>764</v>
      </c>
      <c r="D18" s="455">
        <v>45285</v>
      </c>
      <c r="E18" s="428" t="s">
        <v>50</v>
      </c>
      <c r="F18" s="456"/>
      <c r="G18" s="83">
        <v>45272</v>
      </c>
      <c r="H18" s="457"/>
      <c r="I18" s="468" t="s">
        <v>652</v>
      </c>
      <c r="J18" s="335" t="s">
        <v>315</v>
      </c>
      <c r="K18" s="668">
        <v>12</v>
      </c>
      <c r="L18" s="584"/>
      <c r="M18" s="87">
        <f t="shared" si="1"/>
        <v>12</v>
      </c>
      <c r="N18" s="695"/>
      <c r="O18" s="438"/>
      <c r="P18" s="137">
        <f t="shared" ref="P18:P20" si="3">M18-N18</f>
        <v>12</v>
      </c>
    </row>
    <row r="19" spans="1:17" s="9" customFormat="1" ht="36.75" customHeight="1" x14ac:dyDescent="0.25">
      <c r="A19" s="78"/>
      <c r="B19" s="79"/>
      <c r="C19" s="547" t="s">
        <v>764</v>
      </c>
      <c r="D19" s="455">
        <v>45381</v>
      </c>
      <c r="E19" s="428" t="s">
        <v>60</v>
      </c>
      <c r="F19" s="456"/>
      <c r="G19" s="83">
        <v>45330</v>
      </c>
      <c r="H19" s="457"/>
      <c r="I19" s="468" t="s">
        <v>774</v>
      </c>
      <c r="J19" s="335" t="s">
        <v>773</v>
      </c>
      <c r="K19" s="668">
        <v>7</v>
      </c>
      <c r="L19" s="584"/>
      <c r="M19" s="87">
        <f t="shared" si="1"/>
        <v>7</v>
      </c>
      <c r="N19" s="695"/>
      <c r="O19" s="438"/>
      <c r="P19" s="137">
        <f t="shared" si="3"/>
        <v>7</v>
      </c>
    </row>
    <row r="20" spans="1:17" s="9" customFormat="1" ht="39.75" customHeight="1" x14ac:dyDescent="0.25">
      <c r="A20" s="78"/>
      <c r="B20" s="379"/>
      <c r="C20" s="446"/>
      <c r="D20" s="484" t="s">
        <v>90</v>
      </c>
      <c r="E20" s="428" t="s">
        <v>50</v>
      </c>
      <c r="F20" s="568">
        <v>34885.82</v>
      </c>
      <c r="G20" s="366"/>
      <c r="H20" s="90"/>
      <c r="I20" s="669" t="s">
        <v>72</v>
      </c>
      <c r="J20" s="670" t="s">
        <v>70</v>
      </c>
      <c r="K20" s="671">
        <v>2</v>
      </c>
      <c r="L20" s="666"/>
      <c r="M20" s="690">
        <v>1</v>
      </c>
      <c r="N20" s="691"/>
      <c r="O20" s="666"/>
      <c r="P20" s="137">
        <f t="shared" si="3"/>
        <v>1</v>
      </c>
    </row>
    <row r="21" spans="1:17" s="56" customFormat="1" ht="15" x14ac:dyDescent="0.25">
      <c r="A21" s="41"/>
      <c r="B21" s="330" t="s">
        <v>88</v>
      </c>
      <c r="C21" s="640"/>
      <c r="D21" s="44"/>
      <c r="E21" s="45"/>
      <c r="F21" s="46"/>
      <c r="G21" s="47"/>
      <c r="H21" s="48"/>
      <c r="I21" s="49"/>
      <c r="J21" s="50"/>
      <c r="K21" s="51"/>
      <c r="L21" s="53"/>
      <c r="M21" s="54"/>
      <c r="N21" s="55"/>
      <c r="O21" s="53"/>
      <c r="P21" s="54"/>
    </row>
    <row r="22" spans="1:17" s="1" customFormat="1" ht="16.5" customHeight="1" x14ac:dyDescent="0.25">
      <c r="A22" s="474"/>
      <c r="B22" s="462" t="s">
        <v>79</v>
      </c>
      <c r="C22" s="641"/>
      <c r="D22" s="486"/>
      <c r="E22" s="475"/>
      <c r="F22" s="476"/>
      <c r="G22" s="477"/>
      <c r="H22" s="463"/>
      <c r="I22" s="478"/>
      <c r="J22" s="479"/>
      <c r="K22" s="480"/>
      <c r="L22" s="464"/>
      <c r="M22" s="54"/>
      <c r="N22" s="55"/>
      <c r="O22" s="464"/>
      <c r="P22" s="465"/>
    </row>
    <row r="23" spans="1:17" s="9" customFormat="1" ht="41.25" customHeight="1" x14ac:dyDescent="0.25">
      <c r="A23" s="78"/>
      <c r="B23" s="79"/>
      <c r="C23" s="490" t="s">
        <v>220</v>
      </c>
      <c r="D23" s="351">
        <v>45117</v>
      </c>
      <c r="E23" s="341" t="s">
        <v>50</v>
      </c>
      <c r="F23" s="82"/>
      <c r="G23" s="83">
        <v>45000</v>
      </c>
      <c r="H23" s="429"/>
      <c r="I23" s="468" t="s">
        <v>222</v>
      </c>
      <c r="J23" s="335" t="s">
        <v>221</v>
      </c>
      <c r="K23" s="343">
        <v>1</v>
      </c>
      <c r="L23" s="430"/>
      <c r="M23" s="631">
        <f>K23</f>
        <v>1</v>
      </c>
      <c r="N23" s="376"/>
      <c r="O23" s="332"/>
      <c r="P23" s="435">
        <f t="shared" ref="P23" si="4">M23-N23</f>
        <v>1</v>
      </c>
    </row>
    <row r="24" spans="1:17" s="56" customFormat="1" ht="18" customHeight="1" x14ac:dyDescent="0.25">
      <c r="A24" s="41"/>
      <c r="B24" s="330" t="s">
        <v>94</v>
      </c>
      <c r="C24" s="642"/>
      <c r="D24" s="44"/>
      <c r="E24" s="45"/>
      <c r="F24" s="46"/>
      <c r="G24" s="47"/>
      <c r="H24" s="48"/>
      <c r="I24" s="49"/>
      <c r="J24" s="50"/>
      <c r="K24" s="51"/>
      <c r="L24" s="53"/>
      <c r="M24" s="49"/>
      <c r="N24" s="55"/>
      <c r="O24" s="53"/>
      <c r="P24" s="54"/>
      <c r="Q24" s="424"/>
    </row>
    <row r="25" spans="1:17" s="9" customFormat="1" ht="51" customHeight="1" x14ac:dyDescent="0.25">
      <c r="A25" s="78"/>
      <c r="B25" s="79"/>
      <c r="C25" s="490" t="s">
        <v>621</v>
      </c>
      <c r="D25" s="351">
        <v>45268</v>
      </c>
      <c r="E25" s="341" t="s">
        <v>50</v>
      </c>
      <c r="F25" s="82"/>
      <c r="G25" s="83">
        <v>45261</v>
      </c>
      <c r="H25" s="429"/>
      <c r="I25" s="468" t="s">
        <v>619</v>
      </c>
      <c r="J25" s="335" t="s">
        <v>620</v>
      </c>
      <c r="K25" s="343">
        <v>6</v>
      </c>
      <c r="L25" s="430"/>
      <c r="M25" s="410">
        <f>K25</f>
        <v>6</v>
      </c>
      <c r="N25" s="376">
        <v>6</v>
      </c>
      <c r="O25" s="332"/>
      <c r="P25" s="435">
        <f t="shared" ref="P25:P26" si="5">M25-N25</f>
        <v>0</v>
      </c>
    </row>
    <row r="26" spans="1:17" s="9" customFormat="1" ht="47.25" customHeight="1" x14ac:dyDescent="0.25">
      <c r="A26" s="78"/>
      <c r="B26" s="79"/>
      <c r="C26" s="490" t="s">
        <v>636</v>
      </c>
      <c r="D26" s="351">
        <v>45274</v>
      </c>
      <c r="E26" s="341" t="s">
        <v>50</v>
      </c>
      <c r="F26" s="82"/>
      <c r="G26" s="83">
        <v>45267</v>
      </c>
      <c r="H26" s="429"/>
      <c r="I26" s="468" t="s">
        <v>637</v>
      </c>
      <c r="J26" s="335" t="s">
        <v>620</v>
      </c>
      <c r="K26" s="343">
        <v>8</v>
      </c>
      <c r="L26" s="430"/>
      <c r="M26" s="410">
        <f>K26</f>
        <v>8</v>
      </c>
      <c r="N26" s="376">
        <v>8</v>
      </c>
      <c r="O26" s="332"/>
      <c r="P26" s="435">
        <f t="shared" si="5"/>
        <v>0</v>
      </c>
    </row>
    <row r="27" spans="1:17" s="56" customFormat="1" ht="18.75" customHeight="1" x14ac:dyDescent="0.25">
      <c r="A27" s="41"/>
      <c r="B27" s="330" t="s">
        <v>741</v>
      </c>
      <c r="C27" s="642"/>
      <c r="D27" s="44"/>
      <c r="E27" s="45"/>
      <c r="F27" s="46"/>
      <c r="G27" s="47"/>
      <c r="H27" s="48"/>
      <c r="I27" s="49"/>
      <c r="J27" s="50"/>
      <c r="K27" s="51"/>
      <c r="L27" s="53"/>
      <c r="M27" s="54"/>
      <c r="N27" s="55"/>
      <c r="O27" s="53"/>
      <c r="P27" s="54"/>
    </row>
    <row r="28" spans="1:17" s="9" customFormat="1" ht="22.5" customHeight="1" x14ac:dyDescent="0.25">
      <c r="A28" s="78"/>
      <c r="B28" s="79"/>
      <c r="C28" s="793" t="s">
        <v>746</v>
      </c>
      <c r="D28" s="351">
        <v>45465</v>
      </c>
      <c r="E28" s="341" t="s">
        <v>50</v>
      </c>
      <c r="F28" s="82"/>
      <c r="G28" s="83">
        <v>45324</v>
      </c>
      <c r="H28" s="429"/>
      <c r="I28" s="468" t="s">
        <v>742</v>
      </c>
      <c r="J28" s="335" t="s">
        <v>743</v>
      </c>
      <c r="K28" s="343">
        <v>3</v>
      </c>
      <c r="L28" s="430"/>
      <c r="M28" s="410">
        <f>K28</f>
        <v>3</v>
      </c>
      <c r="N28" s="376"/>
      <c r="O28" s="332"/>
      <c r="P28" s="435">
        <f t="shared" ref="P28:P29" si="6">M28-N28</f>
        <v>3</v>
      </c>
    </row>
    <row r="29" spans="1:17" s="9" customFormat="1" ht="26.4" x14ac:dyDescent="0.25">
      <c r="A29" s="78"/>
      <c r="B29" s="79"/>
      <c r="C29" s="789"/>
      <c r="D29" s="351">
        <v>45361</v>
      </c>
      <c r="E29" s="341" t="s">
        <v>50</v>
      </c>
      <c r="F29" s="82"/>
      <c r="G29" s="83">
        <v>45324</v>
      </c>
      <c r="H29" s="429"/>
      <c r="I29" s="468" t="s">
        <v>744</v>
      </c>
      <c r="J29" s="335" t="s">
        <v>745</v>
      </c>
      <c r="K29" s="343">
        <v>1</v>
      </c>
      <c r="L29" s="430"/>
      <c r="M29" s="410">
        <f>K29</f>
        <v>1</v>
      </c>
      <c r="N29" s="376"/>
      <c r="O29" s="332"/>
      <c r="P29" s="435">
        <f t="shared" si="6"/>
        <v>1</v>
      </c>
    </row>
    <row r="30" spans="1:17" s="9" customFormat="1" ht="16.5" customHeight="1" x14ac:dyDescent="0.25">
      <c r="A30" s="97"/>
      <c r="B30" s="330" t="s">
        <v>45</v>
      </c>
      <c r="C30" s="642"/>
      <c r="D30" s="98"/>
      <c r="E30" s="99"/>
      <c r="F30" s="569">
        <v>1838876.68</v>
      </c>
      <c r="G30" s="101"/>
      <c r="H30" s="102"/>
      <c r="I30" s="103"/>
      <c r="J30" s="105"/>
      <c r="K30" s="106"/>
      <c r="L30" s="53"/>
      <c r="M30" s="54"/>
      <c r="N30" s="55"/>
      <c r="O30" s="53"/>
      <c r="P30" s="54"/>
    </row>
    <row r="31" spans="1:17" s="121" customFormat="1" ht="39.6" x14ac:dyDescent="0.25">
      <c r="A31" s="78"/>
      <c r="B31" s="132"/>
      <c r="C31" s="472"/>
      <c r="D31" s="426"/>
      <c r="E31" s="337" t="s">
        <v>40</v>
      </c>
      <c r="F31" s="672" t="s">
        <v>765</v>
      </c>
      <c r="G31" s="94"/>
      <c r="H31" s="134"/>
      <c r="I31" s="468" t="s">
        <v>67</v>
      </c>
      <c r="J31" s="336" t="s">
        <v>68</v>
      </c>
      <c r="K31" s="470">
        <v>4</v>
      </c>
      <c r="L31" s="135"/>
      <c r="M31" s="87">
        <f t="shared" ref="M31:M57" si="7">K31</f>
        <v>4</v>
      </c>
      <c r="N31" s="130"/>
      <c r="O31" s="135"/>
      <c r="P31" s="137">
        <f t="shared" ref="P31:P57" si="8">M31-N31</f>
        <v>4</v>
      </c>
    </row>
    <row r="32" spans="1:17" s="685" customFormat="1" ht="34.5" customHeight="1" x14ac:dyDescent="0.25">
      <c r="A32" s="333"/>
      <c r="B32" s="682"/>
      <c r="C32" s="467"/>
      <c r="D32" s="351">
        <v>44992</v>
      </c>
      <c r="E32" s="337" t="s">
        <v>50</v>
      </c>
      <c r="F32" s="672" t="s">
        <v>766</v>
      </c>
      <c r="G32" s="351">
        <v>44902</v>
      </c>
      <c r="H32" s="551"/>
      <c r="I32" s="468" t="s">
        <v>153</v>
      </c>
      <c r="J32" s="336" t="s">
        <v>151</v>
      </c>
      <c r="K32" s="470">
        <v>1</v>
      </c>
      <c r="L32" s="545"/>
      <c r="M32" s="352">
        <f t="shared" si="7"/>
        <v>1</v>
      </c>
      <c r="N32" s="683">
        <v>1</v>
      </c>
      <c r="O32" s="545"/>
      <c r="P32" s="684">
        <f t="shared" si="8"/>
        <v>0</v>
      </c>
    </row>
    <row r="33" spans="1:16" s="121" customFormat="1" ht="46.5" customHeight="1" x14ac:dyDescent="0.25">
      <c r="A33" s="78"/>
      <c r="B33" s="132"/>
      <c r="C33" s="471" t="s">
        <v>767</v>
      </c>
      <c r="D33" s="426">
        <v>45070</v>
      </c>
      <c r="E33" s="365" t="s">
        <v>50</v>
      </c>
      <c r="F33" s="93"/>
      <c r="G33" s="426">
        <v>44950</v>
      </c>
      <c r="H33" s="134"/>
      <c r="I33" s="468" t="s">
        <v>205</v>
      </c>
      <c r="J33" s="336" t="s">
        <v>202</v>
      </c>
      <c r="K33" s="513">
        <v>1</v>
      </c>
      <c r="L33" s="135"/>
      <c r="M33" s="87">
        <f t="shared" si="7"/>
        <v>1</v>
      </c>
      <c r="N33" s="130">
        <v>1</v>
      </c>
      <c r="O33" s="135"/>
      <c r="P33" s="137">
        <f t="shared" si="8"/>
        <v>0</v>
      </c>
    </row>
    <row r="34" spans="1:16" s="121" customFormat="1" ht="39.75" customHeight="1" x14ac:dyDescent="0.25">
      <c r="A34" s="78"/>
      <c r="B34" s="132"/>
      <c r="C34" s="549" t="s">
        <v>460</v>
      </c>
      <c r="D34" s="426">
        <v>45040</v>
      </c>
      <c r="E34" s="365" t="s">
        <v>50</v>
      </c>
      <c r="F34" s="93"/>
      <c r="G34" s="426">
        <v>44956</v>
      </c>
      <c r="H34" s="134"/>
      <c r="I34" s="468" t="s">
        <v>210</v>
      </c>
      <c r="J34" s="336" t="s">
        <v>150</v>
      </c>
      <c r="K34" s="513">
        <v>2</v>
      </c>
      <c r="L34" s="135"/>
      <c r="M34" s="87">
        <f t="shared" si="7"/>
        <v>2</v>
      </c>
      <c r="N34" s="130"/>
      <c r="O34" s="135"/>
      <c r="P34" s="137">
        <f t="shared" si="8"/>
        <v>2</v>
      </c>
    </row>
    <row r="35" spans="1:16" s="121" customFormat="1" ht="31.5" customHeight="1" x14ac:dyDescent="0.25">
      <c r="A35" s="78"/>
      <c r="B35" s="132"/>
      <c r="C35" s="790" t="s">
        <v>296</v>
      </c>
      <c r="D35" s="426">
        <v>45213</v>
      </c>
      <c r="E35" s="365" t="s">
        <v>50</v>
      </c>
      <c r="F35" s="93"/>
      <c r="G35" s="426">
        <v>45091</v>
      </c>
      <c r="H35" s="134"/>
      <c r="I35" s="468" t="s">
        <v>298</v>
      </c>
      <c r="J35" s="336" t="s">
        <v>294</v>
      </c>
      <c r="K35" s="513">
        <v>1</v>
      </c>
      <c r="L35" s="135"/>
      <c r="M35" s="87">
        <f t="shared" si="7"/>
        <v>1</v>
      </c>
      <c r="N35" s="130"/>
      <c r="O35" s="135"/>
      <c r="P35" s="137">
        <f t="shared" si="8"/>
        <v>1</v>
      </c>
    </row>
    <row r="36" spans="1:16" s="121" customFormat="1" ht="31.5" customHeight="1" x14ac:dyDescent="0.25">
      <c r="A36" s="78"/>
      <c r="B36" s="132"/>
      <c r="C36" s="792"/>
      <c r="D36" s="426">
        <v>45213</v>
      </c>
      <c r="E36" s="365" t="s">
        <v>50</v>
      </c>
      <c r="F36" s="93"/>
      <c r="G36" s="426">
        <v>45091</v>
      </c>
      <c r="H36" s="134"/>
      <c r="I36" s="468" t="s">
        <v>299</v>
      </c>
      <c r="J36" s="336" t="s">
        <v>151</v>
      </c>
      <c r="K36" s="513">
        <v>1</v>
      </c>
      <c r="L36" s="135"/>
      <c r="M36" s="87">
        <f t="shared" si="7"/>
        <v>1</v>
      </c>
      <c r="N36" s="130">
        <v>1</v>
      </c>
      <c r="O36" s="135"/>
      <c r="P36" s="137">
        <f t="shared" si="8"/>
        <v>0</v>
      </c>
    </row>
    <row r="37" spans="1:16" s="121" customFormat="1" ht="36.75" customHeight="1" x14ac:dyDescent="0.25">
      <c r="A37" s="78"/>
      <c r="B37" s="132"/>
      <c r="C37" s="489" t="s">
        <v>297</v>
      </c>
      <c r="D37" s="426">
        <v>45244</v>
      </c>
      <c r="E37" s="365" t="s">
        <v>50</v>
      </c>
      <c r="F37" s="93"/>
      <c r="G37" s="426">
        <v>45091</v>
      </c>
      <c r="H37" s="134"/>
      <c r="I37" s="468" t="s">
        <v>300</v>
      </c>
      <c r="J37" s="336" t="s">
        <v>295</v>
      </c>
      <c r="K37" s="513">
        <v>1</v>
      </c>
      <c r="L37" s="135"/>
      <c r="M37" s="87">
        <f t="shared" si="7"/>
        <v>1</v>
      </c>
      <c r="N37" s="130">
        <v>1</v>
      </c>
      <c r="O37" s="135"/>
      <c r="P37" s="137">
        <f t="shared" si="8"/>
        <v>0</v>
      </c>
    </row>
    <row r="38" spans="1:16" s="121" customFormat="1" ht="36.75" customHeight="1" x14ac:dyDescent="0.25">
      <c r="A38" s="78"/>
      <c r="B38" s="132"/>
      <c r="C38" s="489" t="s">
        <v>415</v>
      </c>
      <c r="D38" s="426">
        <v>44936</v>
      </c>
      <c r="E38" s="365" t="s">
        <v>50</v>
      </c>
      <c r="F38" s="93"/>
      <c r="G38" s="426">
        <v>45188</v>
      </c>
      <c r="H38" s="134"/>
      <c r="I38" s="468" t="s">
        <v>416</v>
      </c>
      <c r="J38" s="336" t="s">
        <v>145</v>
      </c>
      <c r="K38" s="513">
        <v>2</v>
      </c>
      <c r="L38" s="135"/>
      <c r="M38" s="87">
        <f t="shared" si="7"/>
        <v>2</v>
      </c>
      <c r="N38" s="130"/>
      <c r="O38" s="135"/>
      <c r="P38" s="137">
        <f t="shared" si="8"/>
        <v>2</v>
      </c>
    </row>
    <row r="39" spans="1:16" s="121" customFormat="1" ht="21.75" customHeight="1" x14ac:dyDescent="0.25">
      <c r="A39" s="78"/>
      <c r="B39" s="132"/>
      <c r="C39" s="549" t="s">
        <v>414</v>
      </c>
      <c r="D39" s="426">
        <v>45083</v>
      </c>
      <c r="E39" s="365" t="s">
        <v>50</v>
      </c>
      <c r="F39" s="93"/>
      <c r="G39" s="426">
        <v>45042</v>
      </c>
      <c r="H39" s="134"/>
      <c r="I39" s="468" t="s">
        <v>255</v>
      </c>
      <c r="J39" s="538" t="s">
        <v>226</v>
      </c>
      <c r="K39" s="513">
        <v>30</v>
      </c>
      <c r="L39" s="135"/>
      <c r="M39" s="87">
        <v>10</v>
      </c>
      <c r="N39" s="130"/>
      <c r="O39" s="135"/>
      <c r="P39" s="137">
        <f t="shared" si="8"/>
        <v>10</v>
      </c>
    </row>
    <row r="40" spans="1:16" s="121" customFormat="1" ht="29.25" customHeight="1" x14ac:dyDescent="0.25">
      <c r="A40" s="78"/>
      <c r="B40" s="132"/>
      <c r="C40" s="471" t="s">
        <v>418</v>
      </c>
      <c r="D40" s="351">
        <v>45311</v>
      </c>
      <c r="E40" s="365" t="s">
        <v>50</v>
      </c>
      <c r="F40" s="93"/>
      <c r="G40" s="426">
        <v>45238</v>
      </c>
      <c r="H40" s="134"/>
      <c r="I40" s="468" t="s">
        <v>524</v>
      </c>
      <c r="J40" s="336" t="s">
        <v>525</v>
      </c>
      <c r="K40" s="513">
        <v>2</v>
      </c>
      <c r="L40" s="135"/>
      <c r="M40" s="87">
        <v>2</v>
      </c>
      <c r="N40" s="130"/>
      <c r="O40" s="135"/>
      <c r="P40" s="137">
        <f t="shared" si="8"/>
        <v>2</v>
      </c>
    </row>
    <row r="41" spans="1:16" s="121" customFormat="1" ht="29.25" customHeight="1" x14ac:dyDescent="0.25">
      <c r="A41" s="78"/>
      <c r="B41" s="132"/>
      <c r="C41" s="471" t="s">
        <v>418</v>
      </c>
      <c r="D41" s="351"/>
      <c r="E41" s="365" t="s">
        <v>50</v>
      </c>
      <c r="F41" s="93"/>
      <c r="G41" s="426">
        <v>45254</v>
      </c>
      <c r="H41" s="134"/>
      <c r="I41" s="468" t="s">
        <v>583</v>
      </c>
      <c r="J41" s="336" t="s">
        <v>584</v>
      </c>
      <c r="K41" s="513">
        <v>8</v>
      </c>
      <c r="L41" s="135"/>
      <c r="M41" s="87">
        <v>7</v>
      </c>
      <c r="N41" s="130"/>
      <c r="O41" s="135"/>
      <c r="P41" s="137">
        <f t="shared" si="8"/>
        <v>7</v>
      </c>
    </row>
    <row r="42" spans="1:16" s="121" customFormat="1" ht="36.75" customHeight="1" x14ac:dyDescent="0.25">
      <c r="A42" s="78"/>
      <c r="B42" s="132"/>
      <c r="C42" s="471" t="s">
        <v>629</v>
      </c>
      <c r="D42" s="351">
        <v>45416</v>
      </c>
      <c r="E42" s="365" t="s">
        <v>50</v>
      </c>
      <c r="F42" s="93"/>
      <c r="G42" s="426">
        <v>45254</v>
      </c>
      <c r="H42" s="134"/>
      <c r="I42" s="468" t="s">
        <v>625</v>
      </c>
      <c r="J42" s="336" t="s">
        <v>626</v>
      </c>
      <c r="K42" s="513">
        <v>1</v>
      </c>
      <c r="L42" s="135"/>
      <c r="M42" s="87">
        <f t="shared" ref="M42:M45" si="9">K42</f>
        <v>1</v>
      </c>
      <c r="N42" s="130"/>
      <c r="O42" s="135"/>
      <c r="P42" s="137">
        <f t="shared" si="8"/>
        <v>1</v>
      </c>
    </row>
    <row r="43" spans="1:16" s="121" customFormat="1" ht="35.25" customHeight="1" x14ac:dyDescent="0.25">
      <c r="A43" s="78"/>
      <c r="B43" s="132"/>
      <c r="C43" s="549" t="s">
        <v>649</v>
      </c>
      <c r="D43" s="351">
        <v>45383</v>
      </c>
      <c r="E43" s="365" t="s">
        <v>50</v>
      </c>
      <c r="F43" s="93"/>
      <c r="G43" s="426">
        <v>45267</v>
      </c>
      <c r="H43" s="134"/>
      <c r="I43" s="468" t="s">
        <v>650</v>
      </c>
      <c r="J43" s="336" t="s">
        <v>125</v>
      </c>
      <c r="K43" s="513">
        <v>1</v>
      </c>
      <c r="L43" s="135"/>
      <c r="M43" s="87">
        <f t="shared" si="9"/>
        <v>1</v>
      </c>
      <c r="N43" s="130"/>
      <c r="O43" s="135"/>
      <c r="P43" s="137">
        <f t="shared" si="8"/>
        <v>1</v>
      </c>
    </row>
    <row r="44" spans="1:16" s="121" customFormat="1" ht="35.25" customHeight="1" x14ac:dyDescent="0.25">
      <c r="A44" s="78"/>
      <c r="B44" s="132"/>
      <c r="C44" s="790" t="s">
        <v>713</v>
      </c>
      <c r="D44" s="351">
        <v>45422</v>
      </c>
      <c r="E44" s="365" t="s">
        <v>50</v>
      </c>
      <c r="F44" s="93"/>
      <c r="G44" s="426">
        <v>45306</v>
      </c>
      <c r="H44" s="134"/>
      <c r="I44" s="468" t="s">
        <v>714</v>
      </c>
      <c r="J44" s="336" t="s">
        <v>715</v>
      </c>
      <c r="K44" s="513">
        <v>5</v>
      </c>
      <c r="L44" s="135"/>
      <c r="M44" s="87">
        <f t="shared" si="9"/>
        <v>5</v>
      </c>
      <c r="N44" s="130"/>
      <c r="O44" s="135"/>
      <c r="P44" s="137">
        <f t="shared" si="8"/>
        <v>5</v>
      </c>
    </row>
    <row r="45" spans="1:16" s="121" customFormat="1" ht="35.25" customHeight="1" x14ac:dyDescent="0.25">
      <c r="A45" s="78"/>
      <c r="B45" s="132"/>
      <c r="C45" s="792"/>
      <c r="D45" s="351">
        <v>45422</v>
      </c>
      <c r="E45" s="365" t="s">
        <v>50</v>
      </c>
      <c r="F45" s="93"/>
      <c r="G45" s="426">
        <v>45306</v>
      </c>
      <c r="H45" s="134"/>
      <c r="I45" s="468" t="s">
        <v>716</v>
      </c>
      <c r="J45" s="336" t="s">
        <v>717</v>
      </c>
      <c r="K45" s="513">
        <v>15</v>
      </c>
      <c r="L45" s="135"/>
      <c r="M45" s="87">
        <f t="shared" si="9"/>
        <v>15</v>
      </c>
      <c r="N45" s="130"/>
      <c r="O45" s="135"/>
      <c r="P45" s="137">
        <f t="shared" si="8"/>
        <v>15</v>
      </c>
    </row>
    <row r="46" spans="1:16" s="121" customFormat="1" ht="35.25" customHeight="1" x14ac:dyDescent="0.25">
      <c r="A46" s="78"/>
      <c r="B46" s="132"/>
      <c r="C46" s="467"/>
      <c r="D46" s="351">
        <v>45379</v>
      </c>
      <c r="E46" s="365" t="s">
        <v>50</v>
      </c>
      <c r="F46" s="93"/>
      <c r="G46" s="426">
        <v>45351</v>
      </c>
      <c r="H46" s="134"/>
      <c r="I46" s="468" t="s">
        <v>811</v>
      </c>
      <c r="J46" s="336" t="s">
        <v>812</v>
      </c>
      <c r="K46" s="513">
        <v>2</v>
      </c>
      <c r="L46" s="135"/>
      <c r="M46" s="87">
        <f t="shared" ref="M46" si="10">K46</f>
        <v>2</v>
      </c>
      <c r="N46" s="130"/>
      <c r="O46" s="135"/>
      <c r="P46" s="137">
        <f t="shared" ref="P46" si="11">M46-N46</f>
        <v>2</v>
      </c>
    </row>
    <row r="47" spans="1:16" s="121" customFormat="1" ht="31.5" customHeight="1" x14ac:dyDescent="0.25">
      <c r="A47" s="78"/>
      <c r="B47" s="132"/>
      <c r="C47" s="790" t="s">
        <v>761</v>
      </c>
      <c r="D47" s="426">
        <v>45083</v>
      </c>
      <c r="E47" s="365" t="s">
        <v>50</v>
      </c>
      <c r="F47" s="93"/>
      <c r="G47" s="426">
        <v>45042</v>
      </c>
      <c r="H47" s="134"/>
      <c r="I47" s="468" t="s">
        <v>257</v>
      </c>
      <c r="J47" s="336" t="s">
        <v>244</v>
      </c>
      <c r="K47" s="513">
        <v>5</v>
      </c>
      <c r="L47" s="135"/>
      <c r="M47" s="87">
        <f t="shared" si="7"/>
        <v>5</v>
      </c>
      <c r="N47" s="130"/>
      <c r="O47" s="135"/>
      <c r="P47" s="137">
        <f t="shared" si="8"/>
        <v>5</v>
      </c>
    </row>
    <row r="48" spans="1:16" s="121" customFormat="1" ht="31.5" customHeight="1" x14ac:dyDescent="0.25">
      <c r="A48" s="78"/>
      <c r="B48" s="132"/>
      <c r="C48" s="791"/>
      <c r="D48" s="426">
        <v>45083</v>
      </c>
      <c r="E48" s="365" t="s">
        <v>50</v>
      </c>
      <c r="F48" s="93"/>
      <c r="G48" s="426">
        <v>45042</v>
      </c>
      <c r="H48" s="134"/>
      <c r="I48" s="468" t="s">
        <v>258</v>
      </c>
      <c r="J48" s="336" t="s">
        <v>245</v>
      </c>
      <c r="K48" s="513">
        <v>5</v>
      </c>
      <c r="L48" s="135"/>
      <c r="M48" s="87">
        <f t="shared" si="7"/>
        <v>5</v>
      </c>
      <c r="N48" s="130"/>
      <c r="O48" s="135"/>
      <c r="P48" s="137">
        <f t="shared" si="8"/>
        <v>5</v>
      </c>
    </row>
    <row r="49" spans="1:16" s="121" customFormat="1" ht="31.5" customHeight="1" x14ac:dyDescent="0.25">
      <c r="A49" s="78"/>
      <c r="B49" s="132"/>
      <c r="C49" s="791"/>
      <c r="D49" s="426">
        <v>45083</v>
      </c>
      <c r="E49" s="365" t="s">
        <v>50</v>
      </c>
      <c r="F49" s="93"/>
      <c r="G49" s="426">
        <v>45042</v>
      </c>
      <c r="H49" s="134"/>
      <c r="I49" s="468" t="s">
        <v>259</v>
      </c>
      <c r="J49" s="336" t="s">
        <v>246</v>
      </c>
      <c r="K49" s="513">
        <v>5</v>
      </c>
      <c r="L49" s="135"/>
      <c r="M49" s="87">
        <f t="shared" si="7"/>
        <v>5</v>
      </c>
      <c r="N49" s="130"/>
      <c r="O49" s="135"/>
      <c r="P49" s="137">
        <f t="shared" si="8"/>
        <v>5</v>
      </c>
    </row>
    <row r="50" spans="1:16" s="121" customFormat="1" ht="31.5" customHeight="1" x14ac:dyDescent="0.25">
      <c r="A50" s="78"/>
      <c r="B50" s="132"/>
      <c r="C50" s="791"/>
      <c r="D50" s="426">
        <v>45083</v>
      </c>
      <c r="E50" s="365" t="s">
        <v>50</v>
      </c>
      <c r="F50" s="93"/>
      <c r="G50" s="426">
        <v>45042</v>
      </c>
      <c r="H50" s="134"/>
      <c r="I50" s="468" t="s">
        <v>260</v>
      </c>
      <c r="J50" s="336" t="s">
        <v>247</v>
      </c>
      <c r="K50" s="513">
        <v>20</v>
      </c>
      <c r="L50" s="135"/>
      <c r="M50" s="87">
        <f t="shared" si="7"/>
        <v>20</v>
      </c>
      <c r="N50" s="130"/>
      <c r="O50" s="135"/>
      <c r="P50" s="137">
        <f t="shared" si="8"/>
        <v>20</v>
      </c>
    </row>
    <row r="51" spans="1:16" s="121" customFormat="1" ht="31.5" customHeight="1" x14ac:dyDescent="0.25">
      <c r="A51" s="78"/>
      <c r="B51" s="132"/>
      <c r="C51" s="791"/>
      <c r="D51" s="426">
        <v>45083</v>
      </c>
      <c r="E51" s="365" t="s">
        <v>50</v>
      </c>
      <c r="F51" s="93"/>
      <c r="G51" s="426">
        <v>45042</v>
      </c>
      <c r="H51" s="134"/>
      <c r="I51" s="468" t="s">
        <v>261</v>
      </c>
      <c r="J51" s="336" t="s">
        <v>248</v>
      </c>
      <c r="K51" s="513">
        <v>50</v>
      </c>
      <c r="L51" s="135"/>
      <c r="M51" s="87">
        <f t="shared" si="7"/>
        <v>50</v>
      </c>
      <c r="N51" s="130"/>
      <c r="O51" s="135"/>
      <c r="P51" s="137">
        <f t="shared" si="8"/>
        <v>50</v>
      </c>
    </row>
    <row r="52" spans="1:16" s="121" customFormat="1" ht="27" customHeight="1" x14ac:dyDescent="0.25">
      <c r="A52" s="78"/>
      <c r="B52" s="132"/>
      <c r="C52" s="791"/>
      <c r="D52" s="614">
        <v>45083</v>
      </c>
      <c r="E52" s="615" t="s">
        <v>50</v>
      </c>
      <c r="F52" s="616"/>
      <c r="G52" s="614">
        <v>45042</v>
      </c>
      <c r="H52" s="586"/>
      <c r="I52" s="529" t="s">
        <v>262</v>
      </c>
      <c r="J52" s="481" t="s">
        <v>249</v>
      </c>
      <c r="K52" s="617">
        <v>25</v>
      </c>
      <c r="L52" s="587"/>
      <c r="M52" s="530">
        <f t="shared" si="7"/>
        <v>25</v>
      </c>
      <c r="N52" s="618"/>
      <c r="O52" s="587"/>
      <c r="P52" s="531">
        <f t="shared" si="8"/>
        <v>25</v>
      </c>
    </row>
    <row r="53" spans="1:16" s="121" customFormat="1" ht="33" customHeight="1" x14ac:dyDescent="0.25">
      <c r="A53" s="78"/>
      <c r="B53" s="132"/>
      <c r="C53" s="791"/>
      <c r="D53" s="614">
        <v>45083</v>
      </c>
      <c r="E53" s="615" t="s">
        <v>50</v>
      </c>
      <c r="F53" s="616"/>
      <c r="G53" s="614">
        <v>45042</v>
      </c>
      <c r="H53" s="586"/>
      <c r="I53" s="529" t="s">
        <v>263</v>
      </c>
      <c r="J53" s="481" t="s">
        <v>250</v>
      </c>
      <c r="K53" s="617">
        <v>10</v>
      </c>
      <c r="L53" s="587"/>
      <c r="M53" s="530">
        <f t="shared" si="7"/>
        <v>10</v>
      </c>
      <c r="N53" s="618">
        <v>10</v>
      </c>
      <c r="O53" s="587"/>
      <c r="P53" s="531">
        <f t="shared" si="8"/>
        <v>0</v>
      </c>
    </row>
    <row r="54" spans="1:16" s="121" customFormat="1" ht="33" customHeight="1" x14ac:dyDescent="0.25">
      <c r="A54" s="78"/>
      <c r="B54" s="132"/>
      <c r="C54" s="791"/>
      <c r="D54" s="426">
        <v>45083</v>
      </c>
      <c r="E54" s="365" t="s">
        <v>50</v>
      </c>
      <c r="F54" s="93"/>
      <c r="G54" s="426">
        <v>45042</v>
      </c>
      <c r="H54" s="134"/>
      <c r="I54" s="468" t="s">
        <v>264</v>
      </c>
      <c r="J54" s="336" t="s">
        <v>251</v>
      </c>
      <c r="K54" s="513">
        <v>2</v>
      </c>
      <c r="L54" s="135"/>
      <c r="M54" s="87">
        <f t="shared" si="7"/>
        <v>2</v>
      </c>
      <c r="N54" s="130"/>
      <c r="O54" s="135"/>
      <c r="P54" s="137">
        <f t="shared" si="8"/>
        <v>2</v>
      </c>
    </row>
    <row r="55" spans="1:16" s="121" customFormat="1" ht="33" customHeight="1" x14ac:dyDescent="0.25">
      <c r="A55" s="78"/>
      <c r="B55" s="132"/>
      <c r="C55" s="791"/>
      <c r="D55" s="426">
        <v>45083</v>
      </c>
      <c r="E55" s="365" t="s">
        <v>50</v>
      </c>
      <c r="F55" s="93"/>
      <c r="G55" s="426">
        <v>45042</v>
      </c>
      <c r="H55" s="134"/>
      <c r="I55" s="468" t="s">
        <v>265</v>
      </c>
      <c r="J55" s="336" t="s">
        <v>252</v>
      </c>
      <c r="K55" s="513">
        <v>2</v>
      </c>
      <c r="L55" s="135"/>
      <c r="M55" s="87">
        <f t="shared" si="7"/>
        <v>2</v>
      </c>
      <c r="N55" s="130"/>
      <c r="O55" s="135"/>
      <c r="P55" s="137">
        <f t="shared" si="8"/>
        <v>2</v>
      </c>
    </row>
    <row r="56" spans="1:16" s="121" customFormat="1" ht="33" customHeight="1" x14ac:dyDescent="0.25">
      <c r="A56" s="78"/>
      <c r="B56" s="132"/>
      <c r="C56" s="791"/>
      <c r="D56" s="426">
        <v>45083</v>
      </c>
      <c r="E56" s="365" t="s">
        <v>50</v>
      </c>
      <c r="F56" s="93"/>
      <c r="G56" s="426">
        <v>45042</v>
      </c>
      <c r="H56" s="134"/>
      <c r="I56" s="468" t="s">
        <v>266</v>
      </c>
      <c r="J56" s="336" t="s">
        <v>253</v>
      </c>
      <c r="K56" s="513">
        <v>2</v>
      </c>
      <c r="L56" s="135"/>
      <c r="M56" s="87">
        <f t="shared" si="7"/>
        <v>2</v>
      </c>
      <c r="N56" s="130"/>
      <c r="O56" s="135"/>
      <c r="P56" s="137">
        <f t="shared" si="8"/>
        <v>2</v>
      </c>
    </row>
    <row r="57" spans="1:16" s="121" customFormat="1" ht="33" customHeight="1" x14ac:dyDescent="0.25">
      <c r="A57" s="78"/>
      <c r="B57" s="132"/>
      <c r="C57" s="818"/>
      <c r="D57" s="426">
        <v>45083</v>
      </c>
      <c r="E57" s="365" t="s">
        <v>50</v>
      </c>
      <c r="F57" s="93"/>
      <c r="G57" s="426">
        <v>45042</v>
      </c>
      <c r="H57" s="134"/>
      <c r="I57" s="468" t="s">
        <v>267</v>
      </c>
      <c r="J57" s="336" t="s">
        <v>254</v>
      </c>
      <c r="K57" s="513">
        <v>2</v>
      </c>
      <c r="L57" s="135"/>
      <c r="M57" s="87">
        <f t="shared" si="7"/>
        <v>2</v>
      </c>
      <c r="N57" s="130"/>
      <c r="O57" s="135"/>
      <c r="P57" s="137">
        <f t="shared" si="8"/>
        <v>2</v>
      </c>
    </row>
    <row r="58" spans="1:16" s="9" customFormat="1" ht="27.75" customHeight="1" x14ac:dyDescent="0.25">
      <c r="A58" s="97"/>
      <c r="B58" s="330" t="s">
        <v>43</v>
      </c>
      <c r="C58" s="642"/>
      <c r="D58" s="98"/>
      <c r="E58" s="99"/>
      <c r="F58" s="575">
        <f>SUM(F59:F66)</f>
        <v>412196.08999999997</v>
      </c>
      <c r="G58" s="101"/>
      <c r="H58" s="102"/>
      <c r="I58" s="819" t="s">
        <v>772</v>
      </c>
      <c r="J58" s="820"/>
      <c r="K58" s="821"/>
      <c r="L58" s="111"/>
      <c r="M58" s="112"/>
      <c r="N58" s="113"/>
      <c r="O58" s="111"/>
      <c r="P58" s="112"/>
    </row>
    <row r="59" spans="1:16" s="1" customFormat="1" ht="35.25" customHeight="1" x14ac:dyDescent="0.25">
      <c r="A59" s="333"/>
      <c r="B59" s="377"/>
      <c r="C59" s="532" t="s">
        <v>242</v>
      </c>
      <c r="D59" s="436">
        <v>45090</v>
      </c>
      <c r="E59" s="365" t="s">
        <v>50</v>
      </c>
      <c r="F59" s="677">
        <v>288201.3</v>
      </c>
      <c r="G59" s="437">
        <v>45028</v>
      </c>
      <c r="H59" s="421"/>
      <c r="I59" s="468" t="s">
        <v>236</v>
      </c>
      <c r="J59" s="447" t="s">
        <v>235</v>
      </c>
      <c r="K59" s="453">
        <v>1</v>
      </c>
      <c r="L59" s="420"/>
      <c r="M59" s="87">
        <f t="shared" ref="M59:M66" si="12">K59</f>
        <v>1</v>
      </c>
      <c r="N59" s="449"/>
      <c r="O59" s="142"/>
      <c r="P59" s="137">
        <f t="shared" ref="P59" si="13">K59-N59</f>
        <v>1</v>
      </c>
    </row>
    <row r="60" spans="1:16" s="1" customFormat="1" ht="35.25" customHeight="1" x14ac:dyDescent="0.25">
      <c r="A60" s="333"/>
      <c r="B60" s="377"/>
      <c r="C60" s="532" t="s">
        <v>279</v>
      </c>
      <c r="D60" s="436">
        <v>45137</v>
      </c>
      <c r="E60" s="365" t="s">
        <v>50</v>
      </c>
      <c r="F60" s="677">
        <v>14478.02</v>
      </c>
      <c r="G60" s="437">
        <v>45082</v>
      </c>
      <c r="H60" s="421"/>
      <c r="I60" s="468" t="s">
        <v>280</v>
      </c>
      <c r="J60" s="447" t="s">
        <v>281</v>
      </c>
      <c r="K60" s="453">
        <v>1</v>
      </c>
      <c r="L60" s="420"/>
      <c r="M60" s="87">
        <f t="shared" si="12"/>
        <v>1</v>
      </c>
      <c r="N60" s="449"/>
      <c r="O60" s="142"/>
      <c r="P60" s="137">
        <f>M60-N60</f>
        <v>1</v>
      </c>
    </row>
    <row r="61" spans="1:16" s="1" customFormat="1" ht="35.25" customHeight="1" x14ac:dyDescent="0.25">
      <c r="A61" s="333"/>
      <c r="B61" s="377"/>
      <c r="C61" s="797" t="s">
        <v>768</v>
      </c>
      <c r="D61" s="436">
        <v>45244</v>
      </c>
      <c r="E61" s="365" t="s">
        <v>60</v>
      </c>
      <c r="F61" s="677"/>
      <c r="G61" s="437">
        <v>45156</v>
      </c>
      <c r="H61" s="421"/>
      <c r="I61" s="468" t="s">
        <v>368</v>
      </c>
      <c r="J61" s="447" t="s">
        <v>365</v>
      </c>
      <c r="K61" s="453">
        <v>2</v>
      </c>
      <c r="L61" s="420"/>
      <c r="M61" s="87">
        <f t="shared" si="12"/>
        <v>2</v>
      </c>
      <c r="N61" s="449"/>
      <c r="O61" s="142"/>
      <c r="P61" s="137">
        <f t="shared" ref="P61:P65" si="14">M61-N61</f>
        <v>2</v>
      </c>
    </row>
    <row r="62" spans="1:16" s="1" customFormat="1" ht="35.25" customHeight="1" x14ac:dyDescent="0.25">
      <c r="A62" s="333"/>
      <c r="B62" s="377"/>
      <c r="C62" s="797"/>
      <c r="D62" s="436">
        <v>45244</v>
      </c>
      <c r="E62" s="365" t="s">
        <v>60</v>
      </c>
      <c r="F62" s="677"/>
      <c r="G62" s="437">
        <v>45156</v>
      </c>
      <c r="H62" s="421"/>
      <c r="I62" s="468" t="s">
        <v>369</v>
      </c>
      <c r="J62" s="447" t="s">
        <v>366</v>
      </c>
      <c r="K62" s="453">
        <v>1</v>
      </c>
      <c r="L62" s="420"/>
      <c r="M62" s="87">
        <f t="shared" si="12"/>
        <v>1</v>
      </c>
      <c r="N62" s="449"/>
      <c r="O62" s="142"/>
      <c r="P62" s="137">
        <f t="shared" si="14"/>
        <v>1</v>
      </c>
    </row>
    <row r="63" spans="1:16" s="1" customFormat="1" ht="35.25" customHeight="1" x14ac:dyDescent="0.25">
      <c r="A63" s="333"/>
      <c r="B63" s="377"/>
      <c r="C63" s="797"/>
      <c r="D63" s="436">
        <v>45244</v>
      </c>
      <c r="E63" s="365" t="s">
        <v>60</v>
      </c>
      <c r="F63" s="677"/>
      <c r="G63" s="437">
        <v>45156</v>
      </c>
      <c r="H63" s="421"/>
      <c r="I63" s="468" t="s">
        <v>370</v>
      </c>
      <c r="J63" s="447" t="s">
        <v>367</v>
      </c>
      <c r="K63" s="453">
        <v>1</v>
      </c>
      <c r="L63" s="420"/>
      <c r="M63" s="87">
        <f t="shared" si="12"/>
        <v>1</v>
      </c>
      <c r="N63" s="449"/>
      <c r="O63" s="142"/>
      <c r="P63" s="137">
        <f t="shared" si="14"/>
        <v>1</v>
      </c>
    </row>
    <row r="64" spans="1:16" s="1" customFormat="1" ht="35.25" customHeight="1" x14ac:dyDescent="0.25">
      <c r="A64" s="333"/>
      <c r="B64" s="377"/>
      <c r="C64" s="798"/>
      <c r="D64" s="436">
        <v>45244</v>
      </c>
      <c r="E64" s="365" t="s">
        <v>60</v>
      </c>
      <c r="F64" s="677">
        <v>55506.74</v>
      </c>
      <c r="G64" s="437">
        <v>45156</v>
      </c>
      <c r="H64" s="421"/>
      <c r="I64" s="468" t="s">
        <v>371</v>
      </c>
      <c r="J64" s="335" t="s">
        <v>208</v>
      </c>
      <c r="K64" s="453">
        <v>30</v>
      </c>
      <c r="L64" s="420"/>
      <c r="M64" s="87">
        <f t="shared" si="12"/>
        <v>30</v>
      </c>
      <c r="N64" s="449"/>
      <c r="O64" s="142"/>
      <c r="P64" s="137">
        <f t="shared" si="14"/>
        <v>30</v>
      </c>
    </row>
    <row r="65" spans="1:16" s="1" customFormat="1" ht="35.25" customHeight="1" x14ac:dyDescent="0.25">
      <c r="A65" s="333"/>
      <c r="B65" s="377"/>
      <c r="C65" s="532" t="s">
        <v>490</v>
      </c>
      <c r="D65" s="436">
        <v>45301</v>
      </c>
      <c r="E65" s="365" t="s">
        <v>60</v>
      </c>
      <c r="F65" s="677">
        <v>54010.03</v>
      </c>
      <c r="G65" s="437">
        <v>45210</v>
      </c>
      <c r="H65" s="421"/>
      <c r="I65" s="468" t="s">
        <v>492</v>
      </c>
      <c r="J65" s="447" t="s">
        <v>491</v>
      </c>
      <c r="K65" s="453">
        <v>2</v>
      </c>
      <c r="L65" s="420"/>
      <c r="M65" s="87">
        <f t="shared" si="12"/>
        <v>2</v>
      </c>
      <c r="N65" s="449"/>
      <c r="O65" s="142"/>
      <c r="P65" s="137">
        <f t="shared" si="14"/>
        <v>2</v>
      </c>
    </row>
    <row r="66" spans="1:16" s="1" customFormat="1" ht="32.25" customHeight="1" x14ac:dyDescent="0.25">
      <c r="A66" s="333"/>
      <c r="B66" s="377"/>
      <c r="C66" s="488" t="s">
        <v>769</v>
      </c>
      <c r="D66" s="436">
        <v>45199</v>
      </c>
      <c r="E66" s="365" t="s">
        <v>50</v>
      </c>
      <c r="F66" s="677"/>
      <c r="G66" s="437">
        <v>45154</v>
      </c>
      <c r="H66" s="421"/>
      <c r="I66" s="468" t="s">
        <v>382</v>
      </c>
      <c r="J66" s="447" t="s">
        <v>228</v>
      </c>
      <c r="K66" s="453">
        <v>15</v>
      </c>
      <c r="L66" s="420"/>
      <c r="M66" s="87">
        <f t="shared" si="12"/>
        <v>15</v>
      </c>
      <c r="N66" s="449"/>
      <c r="O66" s="142"/>
      <c r="P66" s="137">
        <f>M66-N66</f>
        <v>15</v>
      </c>
    </row>
    <row r="67" spans="1:16" s="1" customFormat="1" ht="16.5" customHeight="1" x14ac:dyDescent="0.25">
      <c r="A67" s="474"/>
      <c r="B67" s="462" t="s">
        <v>111</v>
      </c>
      <c r="C67" s="641"/>
      <c r="D67" s="486"/>
      <c r="E67" s="475"/>
      <c r="F67" s="476"/>
      <c r="G67" s="477"/>
      <c r="H67" s="463"/>
      <c r="I67" s="478"/>
      <c r="J67" s="479"/>
      <c r="K67" s="480"/>
      <c r="L67" s="464"/>
      <c r="M67" s="54"/>
      <c r="N67" s="55"/>
      <c r="O67" s="464"/>
      <c r="P67" s="465"/>
    </row>
    <row r="68" spans="1:16" s="9" customFormat="1" ht="25.5" customHeight="1" x14ac:dyDescent="0.25">
      <c r="A68" s="78"/>
      <c r="B68" s="527"/>
      <c r="C68" s="643" t="s">
        <v>562</v>
      </c>
      <c r="D68" s="351">
        <v>45209</v>
      </c>
      <c r="E68" s="337" t="s">
        <v>50</v>
      </c>
      <c r="F68" s="380"/>
      <c r="G68" s="351">
        <v>45086</v>
      </c>
      <c r="H68" s="328"/>
      <c r="I68" s="338" t="s">
        <v>289</v>
      </c>
      <c r="J68" s="335" t="s">
        <v>288</v>
      </c>
      <c r="K68" s="453">
        <v>1</v>
      </c>
      <c r="L68" s="329"/>
      <c r="M68" s="87">
        <f t="shared" ref="M68:M72" si="15">K68</f>
        <v>1</v>
      </c>
      <c r="N68" s="449"/>
      <c r="O68" s="142"/>
      <c r="P68" s="137">
        <f t="shared" ref="P68:P72" si="16">M68-N68</f>
        <v>1</v>
      </c>
    </row>
    <row r="69" spans="1:16" s="9" customFormat="1" ht="25.5" customHeight="1" x14ac:dyDescent="0.25">
      <c r="A69" s="78"/>
      <c r="B69" s="527"/>
      <c r="C69" s="378" t="s">
        <v>561</v>
      </c>
      <c r="D69" s="351">
        <v>45026</v>
      </c>
      <c r="E69" s="337" t="s">
        <v>50</v>
      </c>
      <c r="F69" s="706" t="s">
        <v>791</v>
      </c>
      <c r="G69" s="351">
        <v>45244</v>
      </c>
      <c r="H69" s="328"/>
      <c r="I69" s="338" t="s">
        <v>559</v>
      </c>
      <c r="J69" s="335" t="s">
        <v>560</v>
      </c>
      <c r="K69" s="453">
        <v>1</v>
      </c>
      <c r="L69" s="329"/>
      <c r="M69" s="87">
        <f t="shared" si="15"/>
        <v>1</v>
      </c>
      <c r="N69" s="449"/>
      <c r="O69" s="142"/>
      <c r="P69" s="137">
        <f t="shared" si="16"/>
        <v>1</v>
      </c>
    </row>
    <row r="70" spans="1:16" s="9" customFormat="1" ht="25.5" customHeight="1" x14ac:dyDescent="0.25">
      <c r="A70" s="78"/>
      <c r="B70" s="527"/>
      <c r="C70" s="644" t="s">
        <v>671</v>
      </c>
      <c r="D70" s="351">
        <v>45407</v>
      </c>
      <c r="E70" s="337" t="s">
        <v>50</v>
      </c>
      <c r="F70" s="380"/>
      <c r="G70" s="351">
        <v>45286</v>
      </c>
      <c r="H70" s="328"/>
      <c r="I70" s="338" t="s">
        <v>672</v>
      </c>
      <c r="J70" s="335" t="s">
        <v>673</v>
      </c>
      <c r="K70" s="453">
        <v>3</v>
      </c>
      <c r="L70" s="329"/>
      <c r="M70" s="87">
        <f t="shared" si="15"/>
        <v>3</v>
      </c>
      <c r="N70" s="449"/>
      <c r="O70" s="142"/>
      <c r="P70" s="137">
        <f t="shared" si="16"/>
        <v>3</v>
      </c>
    </row>
    <row r="71" spans="1:16" s="9" customFormat="1" ht="25.5" customHeight="1" x14ac:dyDescent="0.25">
      <c r="A71" s="78"/>
      <c r="B71" s="527"/>
      <c r="C71" s="644" t="s">
        <v>757</v>
      </c>
      <c r="D71" s="351">
        <v>45429</v>
      </c>
      <c r="E71" s="337" t="s">
        <v>50</v>
      </c>
      <c r="F71" s="380"/>
      <c r="G71" s="351">
        <v>45329</v>
      </c>
      <c r="H71" s="328"/>
      <c r="I71" s="338" t="s">
        <v>755</v>
      </c>
      <c r="J71" s="335" t="s">
        <v>756</v>
      </c>
      <c r="K71" s="453">
        <v>2</v>
      </c>
      <c r="L71" s="329"/>
      <c r="M71" s="87">
        <f t="shared" ref="M71" si="17">K71</f>
        <v>2</v>
      </c>
      <c r="N71" s="449"/>
      <c r="O71" s="142"/>
      <c r="P71" s="137">
        <f t="shared" ref="P71" si="18">M71-N71</f>
        <v>2</v>
      </c>
    </row>
    <row r="72" spans="1:16" s="9" customFormat="1" ht="25.5" customHeight="1" x14ac:dyDescent="0.25">
      <c r="A72" s="78"/>
      <c r="B72" s="527"/>
      <c r="C72" s="644" t="s">
        <v>810</v>
      </c>
      <c r="D72" s="351">
        <v>45285</v>
      </c>
      <c r="E72" s="337" t="s">
        <v>50</v>
      </c>
      <c r="F72" s="380"/>
      <c r="G72" s="351">
        <v>45258</v>
      </c>
      <c r="H72" s="328"/>
      <c r="I72" s="338" t="s">
        <v>586</v>
      </c>
      <c r="J72" s="335" t="s">
        <v>587</v>
      </c>
      <c r="K72" s="453">
        <v>6</v>
      </c>
      <c r="L72" s="329"/>
      <c r="M72" s="87">
        <f t="shared" si="15"/>
        <v>6</v>
      </c>
      <c r="N72" s="449">
        <v>6</v>
      </c>
      <c r="O72" s="142"/>
      <c r="P72" s="137">
        <f t="shared" si="16"/>
        <v>0</v>
      </c>
    </row>
    <row r="73" spans="1:16" s="9" customFormat="1" ht="25.5" customHeight="1" x14ac:dyDescent="0.25">
      <c r="A73" s="78"/>
      <c r="B73" s="79"/>
      <c r="C73" s="710" t="s">
        <v>809</v>
      </c>
      <c r="D73" s="708">
        <v>45355</v>
      </c>
      <c r="E73" s="337" t="s">
        <v>50</v>
      </c>
      <c r="F73" s="709"/>
      <c r="G73" s="708">
        <v>45349</v>
      </c>
      <c r="H73" s="421"/>
      <c r="I73" s="338" t="s">
        <v>807</v>
      </c>
      <c r="J73" s="335" t="s">
        <v>808</v>
      </c>
      <c r="K73" s="453">
        <v>30</v>
      </c>
      <c r="L73" s="420"/>
      <c r="M73" s="87">
        <f t="shared" ref="M73" si="19">K73</f>
        <v>30</v>
      </c>
      <c r="N73" s="449"/>
      <c r="O73" s="142"/>
      <c r="P73" s="137">
        <f t="shared" ref="P73" si="20">M73-N73</f>
        <v>30</v>
      </c>
    </row>
    <row r="74" spans="1:16" s="56" customFormat="1" ht="21.75" customHeight="1" x14ac:dyDescent="0.25">
      <c r="A74" s="41"/>
      <c r="B74" s="516" t="s">
        <v>95</v>
      </c>
      <c r="C74" s="639"/>
      <c r="D74" s="44"/>
      <c r="E74" s="45"/>
      <c r="F74" s="46"/>
      <c r="G74" s="47"/>
      <c r="H74" s="460"/>
      <c r="I74" s="49"/>
      <c r="J74" s="50"/>
      <c r="K74" s="51"/>
      <c r="L74" s="461"/>
      <c r="M74" s="54"/>
      <c r="N74" s="55"/>
      <c r="O74" s="461"/>
      <c r="P74" s="54"/>
    </row>
    <row r="75" spans="1:16" s="9" customFormat="1" ht="25.5" customHeight="1" x14ac:dyDescent="0.25">
      <c r="A75" s="78"/>
      <c r="B75" s="379"/>
      <c r="C75" s="799" t="s">
        <v>360</v>
      </c>
      <c r="D75" s="552">
        <v>45291</v>
      </c>
      <c r="E75" s="365" t="s">
        <v>60</v>
      </c>
      <c r="F75" s="553"/>
      <c r="G75" s="351">
        <v>45141</v>
      </c>
      <c r="H75" s="328"/>
      <c r="I75" s="338" t="s">
        <v>361</v>
      </c>
      <c r="J75" s="335" t="s">
        <v>363</v>
      </c>
      <c r="K75" s="443">
        <v>1</v>
      </c>
      <c r="L75" s="458"/>
      <c r="M75" s="137">
        <f t="shared" ref="M75:M76" si="21">K75</f>
        <v>1</v>
      </c>
      <c r="N75" s="164"/>
      <c r="O75" s="438"/>
      <c r="P75" s="87">
        <f t="shared" ref="P75:P76" si="22">M75-N75</f>
        <v>1</v>
      </c>
    </row>
    <row r="76" spans="1:16" s="9" customFormat="1" ht="25.5" customHeight="1" x14ac:dyDescent="0.25">
      <c r="A76" s="78"/>
      <c r="B76" s="379"/>
      <c r="C76" s="794"/>
      <c r="D76" s="552">
        <v>45291</v>
      </c>
      <c r="E76" s="428" t="s">
        <v>60</v>
      </c>
      <c r="F76" s="553"/>
      <c r="G76" s="351">
        <v>45110</v>
      </c>
      <c r="H76" s="328"/>
      <c r="I76" s="338" t="s">
        <v>362</v>
      </c>
      <c r="J76" s="335" t="s">
        <v>364</v>
      </c>
      <c r="K76" s="443">
        <v>1</v>
      </c>
      <c r="L76" s="458"/>
      <c r="M76" s="137">
        <f t="shared" si="21"/>
        <v>1</v>
      </c>
      <c r="N76" s="164"/>
      <c r="O76" s="438"/>
      <c r="P76" s="87">
        <f t="shared" si="22"/>
        <v>1</v>
      </c>
    </row>
    <row r="77" spans="1:16" s="56" customFormat="1" ht="21" customHeight="1" x14ac:dyDescent="0.25">
      <c r="A77" s="41"/>
      <c r="B77" s="459" t="s">
        <v>588</v>
      </c>
      <c r="C77" s="639"/>
      <c r="D77" s="44"/>
      <c r="E77" s="45"/>
      <c r="F77" s="46"/>
      <c r="G77" s="47"/>
      <c r="H77" s="460"/>
      <c r="I77" s="49"/>
      <c r="J77" s="50"/>
      <c r="K77" s="51"/>
      <c r="L77" s="461"/>
      <c r="M77" s="54"/>
      <c r="N77" s="55"/>
      <c r="O77" s="461"/>
      <c r="P77" s="54"/>
    </row>
    <row r="78" spans="1:16" s="1" customFormat="1" ht="42.75" customHeight="1" x14ac:dyDescent="0.25">
      <c r="A78" s="333"/>
      <c r="B78" s="703"/>
      <c r="C78" s="704" t="s">
        <v>589</v>
      </c>
      <c r="D78" s="559">
        <v>45316</v>
      </c>
      <c r="E78" s="560" t="s">
        <v>50</v>
      </c>
      <c r="F78" s="558"/>
      <c r="G78" s="705">
        <v>45258</v>
      </c>
      <c r="H78" s="421"/>
      <c r="I78" s="338" t="s">
        <v>590</v>
      </c>
      <c r="J78" s="335" t="s">
        <v>219</v>
      </c>
      <c r="K78" s="453">
        <v>1</v>
      </c>
      <c r="L78" s="420"/>
      <c r="M78" s="137">
        <f t="shared" ref="M78" si="23">K78</f>
        <v>1</v>
      </c>
      <c r="N78" s="164"/>
      <c r="O78" s="438"/>
      <c r="P78" s="87">
        <f t="shared" ref="P78" si="24">M78-N78</f>
        <v>1</v>
      </c>
    </row>
    <row r="79" spans="1:16" s="9" customFormat="1" ht="25.5" customHeight="1" x14ac:dyDescent="0.25">
      <c r="A79" s="78"/>
      <c r="B79" s="379"/>
      <c r="C79" s="707" t="s">
        <v>787</v>
      </c>
      <c r="D79" s="552">
        <v>45349</v>
      </c>
      <c r="E79" s="428" t="s">
        <v>786</v>
      </c>
      <c r="F79" s="702"/>
      <c r="G79" s="351">
        <v>45341</v>
      </c>
      <c r="H79" s="328"/>
      <c r="I79" s="338" t="s">
        <v>785</v>
      </c>
      <c r="J79" s="335" t="s">
        <v>788</v>
      </c>
      <c r="K79" s="453">
        <v>1</v>
      </c>
      <c r="L79" s="458"/>
      <c r="M79" s="137">
        <f t="shared" ref="M79" si="25">K79</f>
        <v>1</v>
      </c>
      <c r="N79" s="164"/>
      <c r="O79" s="438"/>
      <c r="P79" s="87">
        <f t="shared" ref="P79" si="26">M79-N79</f>
        <v>1</v>
      </c>
    </row>
    <row r="80" spans="1:16" s="9" customFormat="1" ht="25.5" customHeight="1" x14ac:dyDescent="0.25">
      <c r="A80" s="78"/>
      <c r="B80" s="379"/>
      <c r="C80" s="825" t="s">
        <v>804</v>
      </c>
      <c r="D80" s="552">
        <v>45407</v>
      </c>
      <c r="E80" s="428" t="s">
        <v>50</v>
      </c>
      <c r="F80" s="702"/>
      <c r="G80" s="351">
        <v>45349</v>
      </c>
      <c r="H80" s="328"/>
      <c r="I80" s="338" t="s">
        <v>792</v>
      </c>
      <c r="J80" s="335" t="s">
        <v>793</v>
      </c>
      <c r="K80" s="443">
        <v>2</v>
      </c>
      <c r="L80" s="458"/>
      <c r="M80" s="137">
        <f t="shared" ref="M80:M85" si="27">K80</f>
        <v>2</v>
      </c>
      <c r="N80" s="164"/>
      <c r="O80" s="438"/>
      <c r="P80" s="87">
        <f t="shared" ref="P80:P85" si="28">M80-N80</f>
        <v>2</v>
      </c>
    </row>
    <row r="81" spans="1:16" s="9" customFormat="1" ht="25.5" customHeight="1" x14ac:dyDescent="0.25">
      <c r="A81" s="78"/>
      <c r="B81" s="379"/>
      <c r="C81" s="825"/>
      <c r="D81" s="552">
        <v>45407</v>
      </c>
      <c r="E81" s="428" t="s">
        <v>50</v>
      </c>
      <c r="F81" s="702"/>
      <c r="G81" s="351">
        <v>45349</v>
      </c>
      <c r="H81" s="328"/>
      <c r="I81" s="338" t="s">
        <v>794</v>
      </c>
      <c r="J81" s="335" t="s">
        <v>795</v>
      </c>
      <c r="K81" s="443">
        <v>8</v>
      </c>
      <c r="L81" s="458"/>
      <c r="M81" s="137">
        <f t="shared" si="27"/>
        <v>8</v>
      </c>
      <c r="N81" s="164"/>
      <c r="O81" s="438"/>
      <c r="P81" s="87">
        <f t="shared" si="28"/>
        <v>8</v>
      </c>
    </row>
    <row r="82" spans="1:16" s="9" customFormat="1" ht="25.5" customHeight="1" x14ac:dyDescent="0.25">
      <c r="A82" s="78"/>
      <c r="B82" s="379"/>
      <c r="C82" s="825"/>
      <c r="D82" s="552">
        <v>45407</v>
      </c>
      <c r="E82" s="428" t="s">
        <v>50</v>
      </c>
      <c r="F82" s="702"/>
      <c r="G82" s="351">
        <v>45349</v>
      </c>
      <c r="H82" s="328"/>
      <c r="I82" s="338" t="s">
        <v>796</v>
      </c>
      <c r="J82" s="335" t="s">
        <v>797</v>
      </c>
      <c r="K82" s="443">
        <v>1</v>
      </c>
      <c r="L82" s="458"/>
      <c r="M82" s="137">
        <f t="shared" si="27"/>
        <v>1</v>
      </c>
      <c r="N82" s="164"/>
      <c r="O82" s="438"/>
      <c r="P82" s="87">
        <f t="shared" si="28"/>
        <v>1</v>
      </c>
    </row>
    <row r="83" spans="1:16" s="9" customFormat="1" ht="25.5" customHeight="1" x14ac:dyDescent="0.25">
      <c r="A83" s="78"/>
      <c r="B83" s="379"/>
      <c r="C83" s="825"/>
      <c r="D83" s="552">
        <v>45407</v>
      </c>
      <c r="E83" s="428" t="s">
        <v>50</v>
      </c>
      <c r="F83" s="702"/>
      <c r="G83" s="351">
        <v>45349</v>
      </c>
      <c r="H83" s="328"/>
      <c r="I83" s="338" t="s">
        <v>798</v>
      </c>
      <c r="J83" s="335" t="s">
        <v>799</v>
      </c>
      <c r="K83" s="443">
        <v>6</v>
      </c>
      <c r="L83" s="458"/>
      <c r="M83" s="137">
        <f t="shared" si="27"/>
        <v>6</v>
      </c>
      <c r="N83" s="164"/>
      <c r="O83" s="438"/>
      <c r="P83" s="87">
        <f t="shared" si="28"/>
        <v>6</v>
      </c>
    </row>
    <row r="84" spans="1:16" s="9" customFormat="1" ht="25.5" customHeight="1" x14ac:dyDescent="0.25">
      <c r="A84" s="78"/>
      <c r="B84" s="379"/>
      <c r="C84" s="825"/>
      <c r="D84" s="552">
        <v>45407</v>
      </c>
      <c r="E84" s="428" t="s">
        <v>50</v>
      </c>
      <c r="F84" s="702"/>
      <c r="G84" s="351">
        <v>45349</v>
      </c>
      <c r="H84" s="328"/>
      <c r="I84" s="338" t="s">
        <v>800</v>
      </c>
      <c r="J84" s="335" t="s">
        <v>801</v>
      </c>
      <c r="K84" s="443">
        <v>1</v>
      </c>
      <c r="L84" s="458"/>
      <c r="M84" s="137">
        <f t="shared" si="27"/>
        <v>1</v>
      </c>
      <c r="N84" s="164"/>
      <c r="O84" s="438"/>
      <c r="P84" s="87">
        <f t="shared" si="28"/>
        <v>1</v>
      </c>
    </row>
    <row r="85" spans="1:16" s="9" customFormat="1" ht="25.5" customHeight="1" x14ac:dyDescent="0.25">
      <c r="A85" s="78"/>
      <c r="B85" s="379"/>
      <c r="C85" s="803"/>
      <c r="D85" s="552">
        <v>45407</v>
      </c>
      <c r="E85" s="428" t="s">
        <v>50</v>
      </c>
      <c r="F85" s="702"/>
      <c r="G85" s="351">
        <v>45349</v>
      </c>
      <c r="H85" s="328"/>
      <c r="I85" s="338" t="s">
        <v>802</v>
      </c>
      <c r="J85" s="335" t="s">
        <v>803</v>
      </c>
      <c r="K85" s="443">
        <v>4</v>
      </c>
      <c r="L85" s="458"/>
      <c r="M85" s="137">
        <f t="shared" si="27"/>
        <v>4</v>
      </c>
      <c r="N85" s="164"/>
      <c r="O85" s="438"/>
      <c r="P85" s="87">
        <f t="shared" si="28"/>
        <v>4</v>
      </c>
    </row>
    <row r="86" spans="1:16" s="56" customFormat="1" ht="17.25" customHeight="1" x14ac:dyDescent="0.25">
      <c r="A86" s="41"/>
      <c r="B86" s="462" t="s">
        <v>82</v>
      </c>
      <c r="C86" s="639"/>
      <c r="D86" s="44"/>
      <c r="E86" s="45"/>
      <c r="F86" s="46"/>
      <c r="G86" s="47"/>
      <c r="H86" s="48"/>
      <c r="I86" s="49"/>
      <c r="J86" s="50"/>
      <c r="K86" s="51"/>
      <c r="L86" s="53"/>
      <c r="M86" s="54"/>
      <c r="N86" s="55"/>
      <c r="O86" s="53"/>
      <c r="P86" s="54"/>
    </row>
    <row r="87" spans="1:16" s="9" customFormat="1" ht="29.25" customHeight="1" x14ac:dyDescent="0.25">
      <c r="A87" s="89"/>
      <c r="B87" s="379"/>
      <c r="C87" s="800" t="s">
        <v>113</v>
      </c>
      <c r="D87" s="519"/>
      <c r="E87" s="428" t="s">
        <v>112</v>
      </c>
      <c r="F87" s="520"/>
      <c r="G87" s="108">
        <v>44755</v>
      </c>
      <c r="H87" s="457"/>
      <c r="I87" s="338" t="s">
        <v>114</v>
      </c>
      <c r="J87" s="335" t="s">
        <v>117</v>
      </c>
      <c r="K87" s="443">
        <v>1</v>
      </c>
      <c r="L87" s="458"/>
      <c r="M87" s="137">
        <f t="shared" ref="M87:M89" si="29">K87</f>
        <v>1</v>
      </c>
      <c r="N87" s="164"/>
      <c r="O87" s="438"/>
      <c r="P87" s="87">
        <f t="shared" ref="P87:P89" si="30">M87-N87</f>
        <v>1</v>
      </c>
    </row>
    <row r="88" spans="1:16" s="9" customFormat="1" ht="35.25" customHeight="1" x14ac:dyDescent="0.25">
      <c r="A88" s="89"/>
      <c r="B88" s="379"/>
      <c r="C88" s="800"/>
      <c r="D88" s="473"/>
      <c r="E88" s="428" t="s">
        <v>112</v>
      </c>
      <c r="F88" s="456"/>
      <c r="G88" s="390">
        <v>44755</v>
      </c>
      <c r="H88" s="457"/>
      <c r="I88" s="338" t="s">
        <v>115</v>
      </c>
      <c r="J88" s="335" t="s">
        <v>118</v>
      </c>
      <c r="K88" s="443">
        <v>1</v>
      </c>
      <c r="L88" s="458"/>
      <c r="M88" s="137">
        <f t="shared" si="29"/>
        <v>1</v>
      </c>
      <c r="N88" s="164"/>
      <c r="O88" s="438"/>
      <c r="P88" s="87">
        <f t="shared" si="30"/>
        <v>1</v>
      </c>
    </row>
    <row r="89" spans="1:16" s="9" customFormat="1" ht="37.5" customHeight="1" x14ac:dyDescent="0.25">
      <c r="A89" s="89"/>
      <c r="B89" s="379"/>
      <c r="C89" s="801"/>
      <c r="D89" s="473"/>
      <c r="E89" s="428" t="s">
        <v>112</v>
      </c>
      <c r="F89" s="456"/>
      <c r="G89" s="390">
        <v>44755</v>
      </c>
      <c r="H89" s="457"/>
      <c r="I89" s="338" t="s">
        <v>116</v>
      </c>
      <c r="J89" s="335" t="s">
        <v>119</v>
      </c>
      <c r="K89" s="443">
        <v>1</v>
      </c>
      <c r="L89" s="458"/>
      <c r="M89" s="137">
        <f t="shared" si="29"/>
        <v>1</v>
      </c>
      <c r="N89" s="164"/>
      <c r="O89" s="438"/>
      <c r="P89" s="87">
        <f t="shared" si="30"/>
        <v>1</v>
      </c>
    </row>
    <row r="90" spans="1:16" s="9" customFormat="1" ht="16.5" customHeight="1" x14ac:dyDescent="0.25">
      <c r="A90" s="97"/>
      <c r="B90" s="369" t="s">
        <v>231</v>
      </c>
      <c r="C90" s="642"/>
      <c r="D90" s="98"/>
      <c r="E90" s="99"/>
      <c r="F90" s="100"/>
      <c r="G90" s="101"/>
      <c r="H90" s="102"/>
      <c r="I90" s="103"/>
      <c r="J90" s="105"/>
      <c r="K90" s="106"/>
      <c r="L90" s="53"/>
      <c r="M90" s="54"/>
      <c r="N90" s="55"/>
      <c r="O90" s="53"/>
      <c r="P90" s="54"/>
    </row>
    <row r="91" spans="1:16" s="9" customFormat="1" ht="26.4" x14ac:dyDescent="0.25">
      <c r="A91" s="89"/>
      <c r="B91" s="379"/>
      <c r="C91" s="802" t="s">
        <v>489</v>
      </c>
      <c r="D91" s="473">
        <v>44995</v>
      </c>
      <c r="E91" s="365" t="s">
        <v>60</v>
      </c>
      <c r="F91" s="456"/>
      <c r="G91" s="390">
        <v>45212</v>
      </c>
      <c r="H91" s="457"/>
      <c r="I91" s="338" t="s">
        <v>487</v>
      </c>
      <c r="J91" s="335" t="s">
        <v>485</v>
      </c>
      <c r="K91" s="443">
        <v>2</v>
      </c>
      <c r="L91" s="458"/>
      <c r="M91" s="137">
        <v>2</v>
      </c>
      <c r="N91" s="442"/>
      <c r="O91" s="438"/>
      <c r="P91" s="87">
        <f t="shared" ref="P91:P92" si="31">M91-N91</f>
        <v>2</v>
      </c>
    </row>
    <row r="92" spans="1:16" s="9" customFormat="1" ht="26.4" x14ac:dyDescent="0.25">
      <c r="A92" s="89"/>
      <c r="B92" s="379"/>
      <c r="C92" s="803"/>
      <c r="D92" s="473">
        <v>44995</v>
      </c>
      <c r="E92" s="508" t="s">
        <v>60</v>
      </c>
      <c r="F92" s="456"/>
      <c r="G92" s="390">
        <v>45212</v>
      </c>
      <c r="H92" s="457"/>
      <c r="I92" s="338" t="s">
        <v>488</v>
      </c>
      <c r="J92" s="335" t="s">
        <v>486</v>
      </c>
      <c r="K92" s="443">
        <v>2</v>
      </c>
      <c r="L92" s="458"/>
      <c r="M92" s="137">
        <v>3</v>
      </c>
      <c r="N92" s="442"/>
      <c r="O92" s="438"/>
      <c r="P92" s="87">
        <f t="shared" si="31"/>
        <v>3</v>
      </c>
    </row>
    <row r="93" spans="1:16" s="9" customFormat="1" ht="16.5" customHeight="1" x14ac:dyDescent="0.25">
      <c r="A93" s="97"/>
      <c r="B93" s="330" t="s">
        <v>61</v>
      </c>
      <c r="C93" s="642"/>
      <c r="D93" s="98"/>
      <c r="E93" s="99"/>
      <c r="F93" s="569">
        <f>SUM(F94:F94)</f>
        <v>0</v>
      </c>
      <c r="G93" s="101"/>
      <c r="H93" s="102"/>
      <c r="I93" s="103"/>
      <c r="J93" s="105"/>
      <c r="K93" s="106"/>
      <c r="L93" s="111"/>
      <c r="M93" s="112"/>
      <c r="N93" s="52"/>
      <c r="O93" s="111"/>
      <c r="P93" s="52"/>
    </row>
    <row r="94" spans="1:16" s="1" customFormat="1" ht="41.25" customHeight="1" x14ac:dyDescent="0.25">
      <c r="A94" s="333"/>
      <c r="B94" s="377"/>
      <c r="C94" s="470" t="s">
        <v>418</v>
      </c>
      <c r="D94" s="436">
        <v>45280</v>
      </c>
      <c r="E94" s="428" t="s">
        <v>50</v>
      </c>
      <c r="F94" s="570" t="s">
        <v>505</v>
      </c>
      <c r="G94" s="437">
        <v>44413</v>
      </c>
      <c r="H94" s="421"/>
      <c r="I94" s="338" t="s">
        <v>86</v>
      </c>
      <c r="J94" s="447" t="s">
        <v>526</v>
      </c>
      <c r="K94" s="454">
        <v>40</v>
      </c>
      <c r="L94" s="420"/>
      <c r="M94" s="137">
        <f>K94</f>
        <v>40</v>
      </c>
      <c r="N94" s="442"/>
      <c r="O94" s="438"/>
      <c r="P94" s="87">
        <f t="shared" ref="P94:P118" si="32">M94-N94</f>
        <v>40</v>
      </c>
    </row>
    <row r="95" spans="1:16" s="9" customFormat="1" ht="30.75" customHeight="1" x14ac:dyDescent="0.25">
      <c r="A95" s="78"/>
      <c r="B95" s="79"/>
      <c r="C95" s="547" t="s">
        <v>418</v>
      </c>
      <c r="D95" s="436">
        <v>45240</v>
      </c>
      <c r="E95" s="428" t="s">
        <v>50</v>
      </c>
      <c r="F95" s="524"/>
      <c r="G95" s="390">
        <v>45182</v>
      </c>
      <c r="H95" s="525"/>
      <c r="I95" s="468" t="s">
        <v>407</v>
      </c>
      <c r="J95" s="335" t="s">
        <v>316</v>
      </c>
      <c r="K95" s="443">
        <v>1</v>
      </c>
      <c r="L95" s="526"/>
      <c r="M95" s="137">
        <f t="shared" ref="M95:M118" si="33">K95</f>
        <v>1</v>
      </c>
      <c r="N95" s="442"/>
      <c r="O95" s="438"/>
      <c r="P95" s="137">
        <f t="shared" si="32"/>
        <v>1</v>
      </c>
    </row>
    <row r="96" spans="1:16" s="9" customFormat="1" ht="30.75" customHeight="1" x14ac:dyDescent="0.25">
      <c r="A96" s="78"/>
      <c r="B96" s="79"/>
      <c r="C96" s="547" t="s">
        <v>568</v>
      </c>
      <c r="D96" s="436">
        <v>44951</v>
      </c>
      <c r="E96" s="428" t="s">
        <v>50</v>
      </c>
      <c r="F96" s="524"/>
      <c r="G96" s="390">
        <v>45246</v>
      </c>
      <c r="H96" s="525"/>
      <c r="I96" s="468" t="s">
        <v>567</v>
      </c>
      <c r="J96" s="335" t="s">
        <v>292</v>
      </c>
      <c r="K96" s="443">
        <v>8</v>
      </c>
      <c r="L96" s="526"/>
      <c r="M96" s="137">
        <f t="shared" si="33"/>
        <v>8</v>
      </c>
      <c r="N96" s="442"/>
      <c r="O96" s="438"/>
      <c r="P96" s="137">
        <f t="shared" si="32"/>
        <v>8</v>
      </c>
    </row>
    <row r="97" spans="1:16" s="9" customFormat="1" ht="30.75" customHeight="1" x14ac:dyDescent="0.25">
      <c r="A97" s="78"/>
      <c r="B97" s="79"/>
      <c r="C97" s="547" t="s">
        <v>570</v>
      </c>
      <c r="D97" s="436">
        <v>45250</v>
      </c>
      <c r="E97" s="428" t="s">
        <v>50</v>
      </c>
      <c r="F97" s="524"/>
      <c r="G97" s="390">
        <v>45246</v>
      </c>
      <c r="H97" s="525"/>
      <c r="I97" s="468" t="s">
        <v>571</v>
      </c>
      <c r="J97" s="335" t="s">
        <v>569</v>
      </c>
      <c r="K97" s="443">
        <v>2</v>
      </c>
      <c r="L97" s="526"/>
      <c r="M97" s="137">
        <f t="shared" si="33"/>
        <v>2</v>
      </c>
      <c r="N97" s="442"/>
      <c r="O97" s="438"/>
      <c r="P97" s="137">
        <f t="shared" si="32"/>
        <v>2</v>
      </c>
    </row>
    <row r="98" spans="1:16" s="9" customFormat="1" ht="30.75" customHeight="1" x14ac:dyDescent="0.25">
      <c r="A98" s="78"/>
      <c r="B98" s="79"/>
      <c r="C98" s="547" t="s">
        <v>570</v>
      </c>
      <c r="D98" s="436">
        <v>45250</v>
      </c>
      <c r="E98" s="428" t="s">
        <v>50</v>
      </c>
      <c r="F98" s="524"/>
      <c r="G98" s="390">
        <v>45246</v>
      </c>
      <c r="H98" s="525"/>
      <c r="I98" s="468" t="s">
        <v>572</v>
      </c>
      <c r="J98" s="335" t="s">
        <v>573</v>
      </c>
      <c r="K98" s="443">
        <v>2</v>
      </c>
      <c r="L98" s="526"/>
      <c r="M98" s="137">
        <f t="shared" si="33"/>
        <v>2</v>
      </c>
      <c r="N98" s="442"/>
      <c r="O98" s="438"/>
      <c r="P98" s="137">
        <f t="shared" si="32"/>
        <v>2</v>
      </c>
    </row>
    <row r="99" spans="1:16" s="9" customFormat="1" ht="36.75" customHeight="1" x14ac:dyDescent="0.25">
      <c r="A99" s="78"/>
      <c r="B99" s="79"/>
      <c r="C99" s="547" t="s">
        <v>575</v>
      </c>
      <c r="D99" s="436">
        <v>44951</v>
      </c>
      <c r="E99" s="428" t="s">
        <v>50</v>
      </c>
      <c r="F99" s="524"/>
      <c r="G99" s="390">
        <v>45250</v>
      </c>
      <c r="H99" s="525"/>
      <c r="I99" s="468" t="s">
        <v>574</v>
      </c>
      <c r="J99" s="335" t="s">
        <v>292</v>
      </c>
      <c r="K99" s="443">
        <v>8</v>
      </c>
      <c r="L99" s="526"/>
      <c r="M99" s="137">
        <f t="shared" si="33"/>
        <v>8</v>
      </c>
      <c r="N99" s="442"/>
      <c r="O99" s="438"/>
      <c r="P99" s="137">
        <f t="shared" si="32"/>
        <v>8</v>
      </c>
    </row>
    <row r="100" spans="1:16" s="9" customFormat="1" ht="36.75" customHeight="1" x14ac:dyDescent="0.25">
      <c r="A100" s="78"/>
      <c r="B100" s="79"/>
      <c r="C100" s="547" t="s">
        <v>632</v>
      </c>
      <c r="D100" s="436">
        <v>45285</v>
      </c>
      <c r="E100" s="428" t="s">
        <v>50</v>
      </c>
      <c r="F100" s="524"/>
      <c r="G100" s="390">
        <v>45258</v>
      </c>
      <c r="H100" s="525"/>
      <c r="I100" s="468" t="s">
        <v>631</v>
      </c>
      <c r="J100" s="335" t="s">
        <v>320</v>
      </c>
      <c r="K100" s="443">
        <v>2</v>
      </c>
      <c r="L100" s="526"/>
      <c r="M100" s="137">
        <f t="shared" si="33"/>
        <v>2</v>
      </c>
      <c r="N100" s="442">
        <v>2</v>
      </c>
      <c r="O100" s="438"/>
      <c r="P100" s="137">
        <f t="shared" si="32"/>
        <v>0</v>
      </c>
    </row>
    <row r="101" spans="1:16" s="9" customFormat="1" ht="36.75" customHeight="1" x14ac:dyDescent="0.25">
      <c r="A101" s="78"/>
      <c r="B101" s="79"/>
      <c r="C101" s="547" t="s">
        <v>424</v>
      </c>
      <c r="D101" s="436">
        <v>45261</v>
      </c>
      <c r="E101" s="428" t="s">
        <v>50</v>
      </c>
      <c r="F101" s="524"/>
      <c r="G101" s="390">
        <v>45189</v>
      </c>
      <c r="H101" s="525"/>
      <c r="I101" s="468" t="s">
        <v>425</v>
      </c>
      <c r="J101" s="335" t="s">
        <v>315</v>
      </c>
      <c r="K101" s="443">
        <v>8</v>
      </c>
      <c r="L101" s="526"/>
      <c r="M101" s="137">
        <f t="shared" si="33"/>
        <v>8</v>
      </c>
      <c r="N101" s="442"/>
      <c r="O101" s="438"/>
      <c r="P101" s="137">
        <f t="shared" si="32"/>
        <v>8</v>
      </c>
    </row>
    <row r="102" spans="1:16" s="9" customFormat="1" ht="32.25" customHeight="1" x14ac:dyDescent="0.25">
      <c r="A102" s="78"/>
      <c r="B102" s="79"/>
      <c r="C102" s="514" t="s">
        <v>309</v>
      </c>
      <c r="D102" s="436">
        <v>45117</v>
      </c>
      <c r="E102" s="428" t="s">
        <v>50</v>
      </c>
      <c r="F102" s="524"/>
      <c r="G102" s="390">
        <v>45086</v>
      </c>
      <c r="H102" s="525"/>
      <c r="I102" s="468" t="s">
        <v>293</v>
      </c>
      <c r="J102" s="335" t="s">
        <v>292</v>
      </c>
      <c r="K102" s="443">
        <v>4</v>
      </c>
      <c r="L102" s="526"/>
      <c r="M102" s="137">
        <f t="shared" si="33"/>
        <v>4</v>
      </c>
      <c r="N102" s="442"/>
      <c r="O102" s="438"/>
      <c r="P102" s="137">
        <f t="shared" si="32"/>
        <v>4</v>
      </c>
    </row>
    <row r="103" spans="1:16" s="9" customFormat="1" ht="32.25" customHeight="1" x14ac:dyDescent="0.25">
      <c r="A103" s="78"/>
      <c r="B103" s="79"/>
      <c r="C103" s="804" t="s">
        <v>658</v>
      </c>
      <c r="D103" s="436">
        <v>45321</v>
      </c>
      <c r="E103" s="428" t="s">
        <v>50</v>
      </c>
      <c r="F103" s="524"/>
      <c r="G103" s="390"/>
      <c r="H103" s="525"/>
      <c r="I103" s="468" t="s">
        <v>684</v>
      </c>
      <c r="J103" s="335" t="s">
        <v>327</v>
      </c>
      <c r="K103" s="443">
        <v>15</v>
      </c>
      <c r="L103" s="526"/>
      <c r="M103" s="137">
        <f t="shared" si="33"/>
        <v>15</v>
      </c>
      <c r="N103" s="442">
        <v>15</v>
      </c>
      <c r="O103" s="438"/>
      <c r="P103" s="137">
        <f t="shared" si="32"/>
        <v>0</v>
      </c>
    </row>
    <row r="104" spans="1:16" s="9" customFormat="1" ht="32.25" customHeight="1" x14ac:dyDescent="0.25">
      <c r="A104" s="78"/>
      <c r="B104" s="79"/>
      <c r="C104" s="807"/>
      <c r="D104" s="436">
        <v>45332</v>
      </c>
      <c r="E104" s="428" t="s">
        <v>50</v>
      </c>
      <c r="F104" s="524"/>
      <c r="G104" s="390"/>
      <c r="H104" s="525"/>
      <c r="I104" s="468" t="s">
        <v>685</v>
      </c>
      <c r="J104" s="335" t="s">
        <v>319</v>
      </c>
      <c r="K104" s="443">
        <v>10</v>
      </c>
      <c r="L104" s="526"/>
      <c r="M104" s="137">
        <f t="shared" si="33"/>
        <v>10</v>
      </c>
      <c r="N104" s="442">
        <v>10</v>
      </c>
      <c r="O104" s="438"/>
      <c r="P104" s="137">
        <f t="shared" si="32"/>
        <v>0</v>
      </c>
    </row>
    <row r="105" spans="1:16" s="9" customFormat="1" ht="32.25" customHeight="1" x14ac:dyDescent="0.25">
      <c r="A105" s="78"/>
      <c r="B105" s="79"/>
      <c r="C105" s="804" t="s">
        <v>686</v>
      </c>
      <c r="D105" s="436">
        <v>45321</v>
      </c>
      <c r="E105" s="428" t="s">
        <v>50</v>
      </c>
      <c r="F105" s="524"/>
      <c r="G105" s="390">
        <v>45288</v>
      </c>
      <c r="H105" s="525"/>
      <c r="I105" s="468" t="s">
        <v>687</v>
      </c>
      <c r="J105" s="335" t="s">
        <v>310</v>
      </c>
      <c r="K105" s="443">
        <v>3</v>
      </c>
      <c r="L105" s="526"/>
      <c r="M105" s="137">
        <f t="shared" si="33"/>
        <v>3</v>
      </c>
      <c r="N105" s="442">
        <v>3</v>
      </c>
      <c r="O105" s="438"/>
      <c r="P105" s="137">
        <f t="shared" si="32"/>
        <v>0</v>
      </c>
    </row>
    <row r="106" spans="1:16" s="9" customFormat="1" ht="32.25" customHeight="1" x14ac:dyDescent="0.25">
      <c r="A106" s="78"/>
      <c r="B106" s="79"/>
      <c r="C106" s="805"/>
      <c r="D106" s="436">
        <v>45321</v>
      </c>
      <c r="E106" s="428" t="s">
        <v>50</v>
      </c>
      <c r="F106" s="524"/>
      <c r="G106" s="390">
        <v>45288</v>
      </c>
      <c r="H106" s="525"/>
      <c r="I106" s="468" t="s">
        <v>688</v>
      </c>
      <c r="J106" s="335" t="s">
        <v>310</v>
      </c>
      <c r="K106" s="443">
        <v>3</v>
      </c>
      <c r="L106" s="526"/>
      <c r="M106" s="137">
        <f t="shared" si="33"/>
        <v>3</v>
      </c>
      <c r="N106" s="442"/>
      <c r="O106" s="438"/>
      <c r="P106" s="137">
        <f t="shared" si="32"/>
        <v>3</v>
      </c>
    </row>
    <row r="107" spans="1:16" s="9" customFormat="1" ht="32.25" customHeight="1" x14ac:dyDescent="0.25">
      <c r="A107" s="78"/>
      <c r="B107" s="79"/>
      <c r="C107" s="805"/>
      <c r="D107" s="436">
        <v>45306</v>
      </c>
      <c r="E107" s="428" t="s">
        <v>50</v>
      </c>
      <c r="F107" s="524"/>
      <c r="G107" s="390">
        <v>45288</v>
      </c>
      <c r="H107" s="525"/>
      <c r="I107" s="468" t="s">
        <v>689</v>
      </c>
      <c r="J107" s="335" t="s">
        <v>311</v>
      </c>
      <c r="K107" s="443">
        <v>4</v>
      </c>
      <c r="L107" s="526"/>
      <c r="M107" s="137">
        <f t="shared" si="33"/>
        <v>4</v>
      </c>
      <c r="N107" s="442">
        <v>4</v>
      </c>
      <c r="O107" s="438"/>
      <c r="P107" s="137">
        <f t="shared" si="32"/>
        <v>0</v>
      </c>
    </row>
    <row r="108" spans="1:16" s="9" customFormat="1" ht="32.25" customHeight="1" x14ac:dyDescent="0.25">
      <c r="A108" s="78"/>
      <c r="B108" s="79"/>
      <c r="C108" s="805"/>
      <c r="D108" s="436">
        <v>45306</v>
      </c>
      <c r="E108" s="428" t="s">
        <v>50</v>
      </c>
      <c r="F108" s="524"/>
      <c r="G108" s="390">
        <v>45288</v>
      </c>
      <c r="H108" s="525"/>
      <c r="I108" s="468" t="s">
        <v>690</v>
      </c>
      <c r="J108" s="335" t="s">
        <v>311</v>
      </c>
      <c r="K108" s="443">
        <v>4</v>
      </c>
      <c r="L108" s="526"/>
      <c r="M108" s="137">
        <f t="shared" si="33"/>
        <v>4</v>
      </c>
      <c r="N108" s="442">
        <v>4</v>
      </c>
      <c r="O108" s="438"/>
      <c r="P108" s="137">
        <f t="shared" si="32"/>
        <v>0</v>
      </c>
    </row>
    <row r="109" spans="1:16" s="9" customFormat="1" ht="32.25" customHeight="1" x14ac:dyDescent="0.25">
      <c r="A109" s="78"/>
      <c r="B109" s="79"/>
      <c r="C109" s="805"/>
      <c r="D109" s="436">
        <v>45337</v>
      </c>
      <c r="E109" s="428" t="s">
        <v>50</v>
      </c>
      <c r="F109" s="524"/>
      <c r="G109" s="390">
        <v>45288</v>
      </c>
      <c r="H109" s="525"/>
      <c r="I109" s="468" t="s">
        <v>691</v>
      </c>
      <c r="J109" s="335" t="s">
        <v>311</v>
      </c>
      <c r="K109" s="443">
        <v>8</v>
      </c>
      <c r="L109" s="526"/>
      <c r="M109" s="137">
        <f t="shared" si="33"/>
        <v>8</v>
      </c>
      <c r="N109" s="442">
        <v>8</v>
      </c>
      <c r="O109" s="438"/>
      <c r="P109" s="137">
        <f t="shared" si="32"/>
        <v>0</v>
      </c>
    </row>
    <row r="110" spans="1:16" s="9" customFormat="1" ht="32.25" customHeight="1" x14ac:dyDescent="0.25">
      <c r="A110" s="78"/>
      <c r="B110" s="79"/>
      <c r="C110" s="805"/>
      <c r="D110" s="436">
        <v>45306</v>
      </c>
      <c r="E110" s="428" t="s">
        <v>50</v>
      </c>
      <c r="F110" s="524"/>
      <c r="G110" s="390">
        <v>45288</v>
      </c>
      <c r="H110" s="525"/>
      <c r="I110" s="468" t="s">
        <v>692</v>
      </c>
      <c r="J110" s="335" t="s">
        <v>102</v>
      </c>
      <c r="K110" s="443">
        <v>2</v>
      </c>
      <c r="L110" s="526"/>
      <c r="M110" s="137">
        <f t="shared" si="33"/>
        <v>2</v>
      </c>
      <c r="N110" s="442">
        <v>2</v>
      </c>
      <c r="O110" s="438"/>
      <c r="P110" s="137">
        <f t="shared" si="32"/>
        <v>0</v>
      </c>
    </row>
    <row r="111" spans="1:16" s="9" customFormat="1" ht="32.25" customHeight="1" x14ac:dyDescent="0.25">
      <c r="A111" s="78"/>
      <c r="B111" s="79"/>
      <c r="C111" s="805"/>
      <c r="D111" s="436">
        <v>45337</v>
      </c>
      <c r="E111" s="428" t="s">
        <v>50</v>
      </c>
      <c r="F111" s="524"/>
      <c r="G111" s="390">
        <v>45288</v>
      </c>
      <c r="H111" s="525"/>
      <c r="I111" s="468" t="s">
        <v>693</v>
      </c>
      <c r="J111" s="335" t="s">
        <v>102</v>
      </c>
      <c r="K111" s="443">
        <v>4</v>
      </c>
      <c r="L111" s="526"/>
      <c r="M111" s="137">
        <f t="shared" si="33"/>
        <v>4</v>
      </c>
      <c r="N111" s="442">
        <f>1+3</f>
        <v>4</v>
      </c>
      <c r="O111" s="438"/>
      <c r="P111" s="137">
        <f t="shared" si="32"/>
        <v>0</v>
      </c>
    </row>
    <row r="112" spans="1:16" s="9" customFormat="1" ht="38.25" customHeight="1" x14ac:dyDescent="0.25">
      <c r="A112" s="78"/>
      <c r="B112" s="79"/>
      <c r="C112" s="805"/>
      <c r="D112" s="436">
        <v>45332</v>
      </c>
      <c r="E112" s="428" t="s">
        <v>50</v>
      </c>
      <c r="F112" s="524"/>
      <c r="G112" s="390">
        <v>45288</v>
      </c>
      <c r="H112" s="525"/>
      <c r="I112" s="468" t="s">
        <v>694</v>
      </c>
      <c r="J112" s="335" t="s">
        <v>317</v>
      </c>
      <c r="K112" s="443">
        <v>2</v>
      </c>
      <c r="L112" s="526"/>
      <c r="M112" s="137">
        <f t="shared" si="33"/>
        <v>2</v>
      </c>
      <c r="N112" s="442">
        <v>2</v>
      </c>
      <c r="O112" s="438"/>
      <c r="P112" s="137">
        <f t="shared" si="32"/>
        <v>0</v>
      </c>
    </row>
    <row r="113" spans="1:17" s="9" customFormat="1" ht="41.25" customHeight="1" x14ac:dyDescent="0.25">
      <c r="A113" s="78"/>
      <c r="B113" s="79"/>
      <c r="C113" s="807"/>
      <c r="D113" s="436">
        <v>45332</v>
      </c>
      <c r="E113" s="428" t="s">
        <v>50</v>
      </c>
      <c r="F113" s="524"/>
      <c r="G113" s="390">
        <v>45288</v>
      </c>
      <c r="H113" s="525"/>
      <c r="I113" s="468" t="s">
        <v>695</v>
      </c>
      <c r="J113" s="335" t="s">
        <v>318</v>
      </c>
      <c r="K113" s="443">
        <v>2</v>
      </c>
      <c r="L113" s="526"/>
      <c r="M113" s="137">
        <f t="shared" si="33"/>
        <v>2</v>
      </c>
      <c r="N113" s="442"/>
      <c r="O113" s="438"/>
      <c r="P113" s="137">
        <f t="shared" si="32"/>
        <v>2</v>
      </c>
    </row>
    <row r="114" spans="1:17" s="9" customFormat="1" ht="32.25" customHeight="1" x14ac:dyDescent="0.25">
      <c r="A114" s="78"/>
      <c r="B114" s="79"/>
      <c r="C114" s="804" t="s">
        <v>658</v>
      </c>
      <c r="D114" s="436">
        <v>45347</v>
      </c>
      <c r="E114" s="428" t="s">
        <v>50</v>
      </c>
      <c r="F114" s="524"/>
      <c r="G114" s="390">
        <v>45275</v>
      </c>
      <c r="H114" s="525"/>
      <c r="I114" s="468" t="s">
        <v>653</v>
      </c>
      <c r="J114" s="335" t="s">
        <v>315</v>
      </c>
      <c r="K114" s="443">
        <v>4</v>
      </c>
      <c r="L114" s="526"/>
      <c r="M114" s="137">
        <f t="shared" si="33"/>
        <v>4</v>
      </c>
      <c r="N114" s="442"/>
      <c r="O114" s="438"/>
      <c r="P114" s="137">
        <f t="shared" si="32"/>
        <v>4</v>
      </c>
    </row>
    <row r="115" spans="1:17" s="9" customFormat="1" ht="66" x14ac:dyDescent="0.25">
      <c r="A115" s="78"/>
      <c r="B115" s="79"/>
      <c r="C115" s="805"/>
      <c r="D115" s="436">
        <v>45347</v>
      </c>
      <c r="E115" s="428" t="s">
        <v>50</v>
      </c>
      <c r="F115" s="524"/>
      <c r="G115" s="390">
        <v>45275</v>
      </c>
      <c r="H115" s="525"/>
      <c r="I115" s="468" t="s">
        <v>654</v>
      </c>
      <c r="J115" s="335" t="s">
        <v>350</v>
      </c>
      <c r="K115" s="443">
        <v>1</v>
      </c>
      <c r="L115" s="526"/>
      <c r="M115" s="137">
        <f t="shared" si="33"/>
        <v>1</v>
      </c>
      <c r="N115" s="442"/>
      <c r="O115" s="438"/>
      <c r="P115" s="137">
        <f t="shared" si="32"/>
        <v>1</v>
      </c>
    </row>
    <row r="116" spans="1:17" s="9" customFormat="1" ht="66" x14ac:dyDescent="0.25">
      <c r="A116" s="78"/>
      <c r="B116" s="79"/>
      <c r="C116" s="805"/>
      <c r="D116" s="436">
        <v>45347</v>
      </c>
      <c r="E116" s="428" t="s">
        <v>50</v>
      </c>
      <c r="F116" s="524"/>
      <c r="G116" s="390">
        <v>45275</v>
      </c>
      <c r="H116" s="525"/>
      <c r="I116" s="468" t="s">
        <v>655</v>
      </c>
      <c r="J116" s="335" t="s">
        <v>351</v>
      </c>
      <c r="K116" s="443">
        <v>1</v>
      </c>
      <c r="L116" s="526"/>
      <c r="M116" s="137">
        <f t="shared" si="33"/>
        <v>1</v>
      </c>
      <c r="N116" s="442"/>
      <c r="O116" s="438"/>
      <c r="P116" s="137">
        <f t="shared" si="32"/>
        <v>1</v>
      </c>
    </row>
    <row r="117" spans="1:17" s="9" customFormat="1" ht="52.8" x14ac:dyDescent="0.25">
      <c r="A117" s="78"/>
      <c r="B117" s="79"/>
      <c r="C117" s="805"/>
      <c r="D117" s="436">
        <v>45347</v>
      </c>
      <c r="E117" s="428" t="s">
        <v>50</v>
      </c>
      <c r="F117" s="524"/>
      <c r="G117" s="390">
        <v>45275</v>
      </c>
      <c r="H117" s="525"/>
      <c r="I117" s="468" t="s">
        <v>656</v>
      </c>
      <c r="J117" s="335" t="s">
        <v>352</v>
      </c>
      <c r="K117" s="443">
        <v>1</v>
      </c>
      <c r="L117" s="526"/>
      <c r="M117" s="137">
        <f t="shared" si="33"/>
        <v>1</v>
      </c>
      <c r="N117" s="442"/>
      <c r="O117" s="438"/>
      <c r="P117" s="137">
        <f t="shared" si="32"/>
        <v>1</v>
      </c>
    </row>
    <row r="118" spans="1:17" s="9" customFormat="1" ht="52.8" x14ac:dyDescent="0.25">
      <c r="A118" s="78"/>
      <c r="B118" s="79"/>
      <c r="C118" s="806"/>
      <c r="D118" s="436">
        <v>45347</v>
      </c>
      <c r="E118" s="428" t="s">
        <v>50</v>
      </c>
      <c r="F118" s="524"/>
      <c r="G118" s="390">
        <v>45275</v>
      </c>
      <c r="H118" s="525"/>
      <c r="I118" s="468" t="s">
        <v>657</v>
      </c>
      <c r="J118" s="335" t="s">
        <v>353</v>
      </c>
      <c r="K118" s="443">
        <v>1</v>
      </c>
      <c r="L118" s="526"/>
      <c r="M118" s="137">
        <f t="shared" si="33"/>
        <v>1</v>
      </c>
      <c r="N118" s="442"/>
      <c r="O118" s="438"/>
      <c r="P118" s="137">
        <f t="shared" si="32"/>
        <v>1</v>
      </c>
    </row>
    <row r="119" spans="1:17" s="56" customFormat="1" ht="15" x14ac:dyDescent="0.25">
      <c r="A119" s="41"/>
      <c r="B119" s="334" t="s">
        <v>275</v>
      </c>
      <c r="C119" s="640"/>
      <c r="D119" s="44"/>
      <c r="E119" s="45"/>
      <c r="F119" s="46"/>
      <c r="G119" s="47"/>
      <c r="H119" s="48"/>
      <c r="I119" s="49"/>
      <c r="J119" s="50"/>
      <c r="K119" s="51"/>
      <c r="L119" s="53"/>
      <c r="M119" s="54"/>
      <c r="N119" s="55"/>
      <c r="O119" s="53"/>
      <c r="P119" s="54"/>
    </row>
    <row r="120" spans="1:17" s="56" customFormat="1" ht="18" customHeight="1" x14ac:dyDescent="0.25">
      <c r="A120" s="41"/>
      <c r="B120" s="330" t="s">
        <v>496</v>
      </c>
      <c r="C120" s="642"/>
      <c r="D120" s="44"/>
      <c r="E120" s="45"/>
      <c r="F120" s="46"/>
      <c r="G120" s="47"/>
      <c r="H120" s="48"/>
      <c r="I120" s="49"/>
      <c r="J120" s="50"/>
      <c r="K120" s="51"/>
      <c r="L120" s="53"/>
      <c r="M120" s="49"/>
      <c r="N120" s="55"/>
      <c r="O120" s="53"/>
      <c r="P120" s="54"/>
      <c r="Q120" s="424"/>
    </row>
    <row r="121" spans="1:17" s="56" customFormat="1" ht="15" x14ac:dyDescent="0.25">
      <c r="A121" s="41"/>
      <c r="B121" s="369" t="s">
        <v>467</v>
      </c>
      <c r="C121" s="640"/>
      <c r="D121" s="44"/>
      <c r="E121" s="45"/>
      <c r="F121" s="46"/>
      <c r="G121" s="47"/>
      <c r="H121" s="48"/>
      <c r="I121" s="49"/>
      <c r="J121" s="50"/>
      <c r="K121" s="51"/>
      <c r="L121" s="53"/>
      <c r="M121" s="54"/>
      <c r="N121" s="55"/>
      <c r="O121" s="53"/>
      <c r="P121" s="54"/>
    </row>
    <row r="122" spans="1:17" s="9" customFormat="1" ht="33.75" customHeight="1" x14ac:dyDescent="0.25">
      <c r="A122" s="89"/>
      <c r="B122" s="379"/>
      <c r="C122" s="795" t="s">
        <v>578</v>
      </c>
      <c r="D122" s="455">
        <v>45371</v>
      </c>
      <c r="E122" s="428" t="s">
        <v>50</v>
      </c>
      <c r="F122" s="456"/>
      <c r="G122" s="83">
        <v>45251</v>
      </c>
      <c r="H122" s="457"/>
      <c r="I122" s="338" t="s">
        <v>579</v>
      </c>
      <c r="J122" s="335" t="s">
        <v>580</v>
      </c>
      <c r="K122" s="443">
        <v>4</v>
      </c>
      <c r="L122" s="458"/>
      <c r="M122" s="137">
        <f t="shared" ref="M122:M123" si="34">K122</f>
        <v>4</v>
      </c>
      <c r="N122" s="433"/>
      <c r="O122" s="438"/>
      <c r="P122" s="87">
        <f t="shared" ref="P122:P123" si="35">M122-N122</f>
        <v>4</v>
      </c>
    </row>
    <row r="123" spans="1:17" s="9" customFormat="1" ht="33.75" customHeight="1" x14ac:dyDescent="0.25">
      <c r="A123" s="89"/>
      <c r="B123" s="379"/>
      <c r="C123" s="796"/>
      <c r="D123" s="455">
        <v>45321</v>
      </c>
      <c r="E123" s="428" t="s">
        <v>50</v>
      </c>
      <c r="F123" s="456"/>
      <c r="G123" s="83">
        <v>45251</v>
      </c>
      <c r="H123" s="457"/>
      <c r="I123" s="338" t="s">
        <v>581</v>
      </c>
      <c r="J123" s="335" t="s">
        <v>582</v>
      </c>
      <c r="K123" s="443">
        <v>10</v>
      </c>
      <c r="L123" s="458"/>
      <c r="M123" s="137">
        <f t="shared" si="34"/>
        <v>10</v>
      </c>
      <c r="N123" s="433">
        <v>10</v>
      </c>
      <c r="O123" s="438"/>
      <c r="P123" s="87">
        <f t="shared" si="35"/>
        <v>0</v>
      </c>
    </row>
    <row r="124" spans="1:17" s="9" customFormat="1" ht="17.25" customHeight="1" x14ac:dyDescent="0.25">
      <c r="A124" s="97"/>
      <c r="B124" s="334" t="s">
        <v>53</v>
      </c>
      <c r="C124" s="642"/>
      <c r="D124" s="98"/>
      <c r="E124" s="99"/>
      <c r="F124" s="569">
        <f>SUM(F125:F191)</f>
        <v>0</v>
      </c>
      <c r="G124" s="101"/>
      <c r="H124" s="102"/>
      <c r="I124" s="103"/>
      <c r="J124" s="105"/>
      <c r="K124" s="106"/>
      <c r="L124" s="53"/>
      <c r="M124" s="54"/>
      <c r="N124" s="55"/>
      <c r="O124" s="53"/>
      <c r="P124" s="54"/>
    </row>
    <row r="125" spans="1:17" s="9" customFormat="1" ht="33.75" customHeight="1" x14ac:dyDescent="0.25">
      <c r="A125" s="89"/>
      <c r="B125" s="379"/>
      <c r="C125" s="510" t="s">
        <v>156</v>
      </c>
      <c r="D125" s="455">
        <v>45016</v>
      </c>
      <c r="E125" s="428" t="s">
        <v>50</v>
      </c>
      <c r="F125" s="456"/>
      <c r="G125" s="83">
        <v>44911</v>
      </c>
      <c r="H125" s="457"/>
      <c r="I125" s="338" t="s">
        <v>155</v>
      </c>
      <c r="J125" s="335" t="s">
        <v>154</v>
      </c>
      <c r="K125" s="443">
        <v>5</v>
      </c>
      <c r="L125" s="458"/>
      <c r="M125" s="137">
        <f t="shared" ref="M125:M165" si="36">K125</f>
        <v>5</v>
      </c>
      <c r="N125" s="433"/>
      <c r="O125" s="438"/>
      <c r="P125" s="87">
        <f t="shared" ref="P125:P165" si="37">M125-N125</f>
        <v>5</v>
      </c>
    </row>
    <row r="126" spans="1:17" s="9" customFormat="1" ht="33.75" customHeight="1" x14ac:dyDescent="0.25">
      <c r="A126" s="89"/>
      <c r="B126" s="379"/>
      <c r="C126" s="534" t="s">
        <v>158</v>
      </c>
      <c r="D126" s="455">
        <v>45066</v>
      </c>
      <c r="E126" s="428" t="s">
        <v>50</v>
      </c>
      <c r="F126" s="456"/>
      <c r="G126" s="83">
        <v>44907</v>
      </c>
      <c r="H126" s="457"/>
      <c r="I126" s="338" t="s">
        <v>157</v>
      </c>
      <c r="J126" s="335" t="s">
        <v>154</v>
      </c>
      <c r="K126" s="443">
        <v>15</v>
      </c>
      <c r="L126" s="458"/>
      <c r="M126" s="137">
        <f t="shared" si="36"/>
        <v>15</v>
      </c>
      <c r="N126" s="433"/>
      <c r="O126" s="438"/>
      <c r="P126" s="87">
        <f t="shared" si="37"/>
        <v>15</v>
      </c>
    </row>
    <row r="127" spans="1:17" s="9" customFormat="1" ht="32.25" customHeight="1" x14ac:dyDescent="0.25">
      <c r="A127" s="89"/>
      <c r="B127" s="379"/>
      <c r="C127" s="514" t="s">
        <v>215</v>
      </c>
      <c r="D127" s="455">
        <v>45046</v>
      </c>
      <c r="E127" s="428" t="s">
        <v>50</v>
      </c>
      <c r="F127" s="456"/>
      <c r="G127" s="83">
        <v>44970</v>
      </c>
      <c r="H127" s="457"/>
      <c r="I127" s="338" t="s">
        <v>214</v>
      </c>
      <c r="J127" s="335" t="s">
        <v>126</v>
      </c>
      <c r="K127" s="443">
        <v>1</v>
      </c>
      <c r="L127" s="458"/>
      <c r="M127" s="137">
        <f t="shared" si="36"/>
        <v>1</v>
      </c>
      <c r="N127" s="433"/>
      <c r="O127" s="438"/>
      <c r="P127" s="87">
        <f t="shared" si="37"/>
        <v>1</v>
      </c>
    </row>
    <row r="128" spans="1:17" s="9" customFormat="1" ht="32.25" customHeight="1" x14ac:dyDescent="0.25">
      <c r="A128" s="89"/>
      <c r="B128" s="379"/>
      <c r="C128" s="804" t="s">
        <v>225</v>
      </c>
      <c r="D128" s="455">
        <v>45155</v>
      </c>
      <c r="E128" s="428" t="s">
        <v>50</v>
      </c>
      <c r="F128" s="456"/>
      <c r="G128" s="83">
        <v>45002</v>
      </c>
      <c r="H128" s="457"/>
      <c r="I128" s="338" t="s">
        <v>224</v>
      </c>
      <c r="J128" s="335" t="s">
        <v>223</v>
      </c>
      <c r="K128" s="443">
        <v>88</v>
      </c>
      <c r="L128" s="458"/>
      <c r="M128" s="137">
        <f t="shared" si="36"/>
        <v>88</v>
      </c>
      <c r="N128" s="433">
        <f>55+26+7</f>
        <v>88</v>
      </c>
      <c r="O128" s="438"/>
      <c r="P128" s="87">
        <f t="shared" si="37"/>
        <v>0</v>
      </c>
    </row>
    <row r="129" spans="1:18" s="9" customFormat="1" ht="32.25" customHeight="1" x14ac:dyDescent="0.25">
      <c r="A129" s="89"/>
      <c r="B129" s="379"/>
      <c r="C129" s="807"/>
      <c r="D129" s="455" t="s">
        <v>771</v>
      </c>
      <c r="E129" s="428" t="s">
        <v>50</v>
      </c>
      <c r="F129" s="456"/>
      <c r="G129" s="83"/>
      <c r="H129" s="457"/>
      <c r="I129" s="338" t="s">
        <v>762</v>
      </c>
      <c r="J129" s="335" t="s">
        <v>223</v>
      </c>
      <c r="K129" s="443">
        <v>62</v>
      </c>
      <c r="L129" s="458"/>
      <c r="M129" s="137">
        <f t="shared" si="36"/>
        <v>62</v>
      </c>
      <c r="N129" s="433">
        <v>62</v>
      </c>
      <c r="O129" s="438"/>
      <c r="P129" s="87"/>
    </row>
    <row r="130" spans="1:18" s="9" customFormat="1" ht="35.25" customHeight="1" x14ac:dyDescent="0.25">
      <c r="A130" s="89"/>
      <c r="B130" s="379"/>
      <c r="C130" s="514" t="s">
        <v>344</v>
      </c>
      <c r="D130" s="455">
        <v>45260</v>
      </c>
      <c r="E130" s="428" t="s">
        <v>60</v>
      </c>
      <c r="F130" s="456"/>
      <c r="G130" s="83">
        <v>45132</v>
      </c>
      <c r="H130" s="457"/>
      <c r="I130" s="338" t="s">
        <v>345</v>
      </c>
      <c r="J130" s="335" t="s">
        <v>343</v>
      </c>
      <c r="K130" s="443">
        <v>1</v>
      </c>
      <c r="L130" s="458"/>
      <c r="M130" s="137">
        <f t="shared" si="36"/>
        <v>1</v>
      </c>
      <c r="N130" s="433"/>
      <c r="O130" s="438"/>
      <c r="P130" s="87">
        <f t="shared" si="37"/>
        <v>1</v>
      </c>
    </row>
    <row r="131" spans="1:18" s="9" customFormat="1" ht="29.25" customHeight="1" x14ac:dyDescent="0.25">
      <c r="A131" s="89"/>
      <c r="B131" s="379"/>
      <c r="C131" s="509" t="s">
        <v>304</v>
      </c>
      <c r="D131" s="455">
        <v>45283</v>
      </c>
      <c r="E131" s="428" t="s">
        <v>50</v>
      </c>
      <c r="F131" s="520"/>
      <c r="G131" s="83">
        <v>45100</v>
      </c>
      <c r="H131" s="457"/>
      <c r="I131" s="338" t="s">
        <v>306</v>
      </c>
      <c r="J131" s="335" t="s">
        <v>305</v>
      </c>
      <c r="K131" s="443">
        <v>1</v>
      </c>
      <c r="L131" s="458"/>
      <c r="M131" s="137">
        <f t="shared" si="36"/>
        <v>1</v>
      </c>
      <c r="N131" s="433"/>
      <c r="O131" s="438"/>
      <c r="P131" s="87">
        <f t="shared" si="37"/>
        <v>1</v>
      </c>
    </row>
    <row r="132" spans="1:18" s="9" customFormat="1" ht="36" customHeight="1" x14ac:dyDescent="0.25">
      <c r="A132" s="89"/>
      <c r="B132" s="379"/>
      <c r="C132" s="510" t="s">
        <v>328</v>
      </c>
      <c r="D132" s="455">
        <v>45255</v>
      </c>
      <c r="E132" s="428" t="s">
        <v>50</v>
      </c>
      <c r="F132" s="520"/>
      <c r="G132" s="83">
        <v>45118</v>
      </c>
      <c r="H132" s="457"/>
      <c r="I132" s="338" t="s">
        <v>329</v>
      </c>
      <c r="J132" s="335" t="s">
        <v>290</v>
      </c>
      <c r="K132" s="443">
        <v>6</v>
      </c>
      <c r="L132" s="458"/>
      <c r="M132" s="137">
        <f t="shared" si="36"/>
        <v>6</v>
      </c>
      <c r="N132" s="433">
        <f>2+1</f>
        <v>3</v>
      </c>
      <c r="O132" s="438"/>
      <c r="P132" s="87">
        <f t="shared" si="37"/>
        <v>3</v>
      </c>
    </row>
    <row r="133" spans="1:18" s="9" customFormat="1" ht="36" customHeight="1" x14ac:dyDescent="0.25">
      <c r="A133" s="89"/>
      <c r="B133" s="379"/>
      <c r="C133" s="510" t="s">
        <v>330</v>
      </c>
      <c r="D133" s="455">
        <v>45277</v>
      </c>
      <c r="E133" s="428" t="s">
        <v>50</v>
      </c>
      <c r="F133" s="520"/>
      <c r="G133" s="83">
        <v>45124</v>
      </c>
      <c r="H133" s="457"/>
      <c r="I133" s="338" t="s">
        <v>332</v>
      </c>
      <c r="J133" s="335" t="s">
        <v>331</v>
      </c>
      <c r="K133" s="443">
        <v>2</v>
      </c>
      <c r="L133" s="458"/>
      <c r="M133" s="137">
        <f t="shared" si="36"/>
        <v>2</v>
      </c>
      <c r="N133" s="433"/>
      <c r="O133" s="438"/>
      <c r="P133" s="87">
        <f t="shared" si="37"/>
        <v>2</v>
      </c>
    </row>
    <row r="134" spans="1:18" s="9" customFormat="1" ht="28.5" customHeight="1" x14ac:dyDescent="0.25">
      <c r="A134" s="89"/>
      <c r="B134" s="379"/>
      <c r="C134" s="510" t="s">
        <v>330</v>
      </c>
      <c r="D134" s="455">
        <v>45277</v>
      </c>
      <c r="E134" s="428" t="s">
        <v>50</v>
      </c>
      <c r="F134" s="520"/>
      <c r="G134" s="83">
        <v>45124</v>
      </c>
      <c r="H134" s="457"/>
      <c r="I134" s="338" t="s">
        <v>333</v>
      </c>
      <c r="J134" s="335" t="s">
        <v>168</v>
      </c>
      <c r="K134" s="443">
        <v>1</v>
      </c>
      <c r="L134" s="458"/>
      <c r="M134" s="137">
        <f t="shared" si="36"/>
        <v>1</v>
      </c>
      <c r="N134" s="433"/>
      <c r="O134" s="438"/>
      <c r="P134" s="87">
        <f t="shared" si="37"/>
        <v>1</v>
      </c>
      <c r="R134" s="1" t="s">
        <v>1</v>
      </c>
    </row>
    <row r="135" spans="1:18" s="9" customFormat="1" ht="28.5" customHeight="1" x14ac:dyDescent="0.25">
      <c r="A135" s="89"/>
      <c r="B135" s="379"/>
      <c r="C135" s="810" t="s">
        <v>334</v>
      </c>
      <c r="D135" s="455">
        <v>45278</v>
      </c>
      <c r="E135" s="428" t="s">
        <v>50</v>
      </c>
      <c r="F135" s="520"/>
      <c r="G135" s="83">
        <v>45124</v>
      </c>
      <c r="H135" s="457"/>
      <c r="I135" s="338" t="s">
        <v>337</v>
      </c>
      <c r="J135" s="335" t="s">
        <v>335</v>
      </c>
      <c r="K135" s="443">
        <v>1</v>
      </c>
      <c r="L135" s="458"/>
      <c r="M135" s="137">
        <f t="shared" si="36"/>
        <v>1</v>
      </c>
      <c r="N135" s="433"/>
      <c r="O135" s="438"/>
      <c r="P135" s="87">
        <f t="shared" si="37"/>
        <v>1</v>
      </c>
    </row>
    <row r="136" spans="1:18" s="9" customFormat="1" ht="28.5" customHeight="1" x14ac:dyDescent="0.25">
      <c r="A136" s="89"/>
      <c r="B136" s="379"/>
      <c r="C136" s="811"/>
      <c r="D136" s="455">
        <v>45278</v>
      </c>
      <c r="E136" s="428" t="s">
        <v>50</v>
      </c>
      <c r="F136" s="520"/>
      <c r="G136" s="83">
        <v>45124</v>
      </c>
      <c r="H136" s="457"/>
      <c r="I136" s="338" t="s">
        <v>338</v>
      </c>
      <c r="J136" s="335" t="s">
        <v>227</v>
      </c>
      <c r="K136" s="443">
        <v>1</v>
      </c>
      <c r="L136" s="458"/>
      <c r="M136" s="137">
        <f t="shared" si="36"/>
        <v>1</v>
      </c>
      <c r="N136" s="433"/>
      <c r="O136" s="438"/>
      <c r="P136" s="87">
        <f t="shared" si="37"/>
        <v>1</v>
      </c>
    </row>
    <row r="137" spans="1:18" s="9" customFormat="1" ht="39" customHeight="1" x14ac:dyDescent="0.25">
      <c r="A137" s="89"/>
      <c r="B137" s="379"/>
      <c r="C137" s="812" t="s">
        <v>344</v>
      </c>
      <c r="D137" s="455">
        <v>45316</v>
      </c>
      <c r="E137" s="428" t="s">
        <v>50</v>
      </c>
      <c r="F137" s="520"/>
      <c r="G137" s="83">
        <v>45142</v>
      </c>
      <c r="H137" s="457"/>
      <c r="I137" s="338" t="s">
        <v>358</v>
      </c>
      <c r="J137" s="335" t="s">
        <v>354</v>
      </c>
      <c r="K137" s="443">
        <v>4</v>
      </c>
      <c r="L137" s="458"/>
      <c r="M137" s="137">
        <f t="shared" si="36"/>
        <v>4</v>
      </c>
      <c r="N137" s="433"/>
      <c r="O137" s="438"/>
      <c r="P137" s="87">
        <f t="shared" si="37"/>
        <v>4</v>
      </c>
    </row>
    <row r="138" spans="1:18" s="9" customFormat="1" ht="39" customHeight="1" x14ac:dyDescent="0.25">
      <c r="A138" s="89"/>
      <c r="B138" s="379"/>
      <c r="C138" s="812"/>
      <c r="D138" s="455">
        <v>45316</v>
      </c>
      <c r="E138" s="428" t="s">
        <v>50</v>
      </c>
      <c r="F138" s="520"/>
      <c r="G138" s="83">
        <v>45142</v>
      </c>
      <c r="H138" s="457"/>
      <c r="I138" s="338" t="s">
        <v>359</v>
      </c>
      <c r="J138" s="335" t="s">
        <v>355</v>
      </c>
      <c r="K138" s="443">
        <v>6</v>
      </c>
      <c r="L138" s="458"/>
      <c r="M138" s="137">
        <f t="shared" si="36"/>
        <v>6</v>
      </c>
      <c r="N138" s="433"/>
      <c r="O138" s="438"/>
      <c r="P138" s="87">
        <f t="shared" si="37"/>
        <v>6</v>
      </c>
    </row>
    <row r="139" spans="1:18" s="9" customFormat="1" ht="39" customHeight="1" x14ac:dyDescent="0.25">
      <c r="A139" s="89"/>
      <c r="B139" s="379"/>
      <c r="C139" s="514" t="s">
        <v>356</v>
      </c>
      <c r="D139" s="455">
        <v>45316</v>
      </c>
      <c r="E139" s="428" t="s">
        <v>50</v>
      </c>
      <c r="F139" s="577"/>
      <c r="G139" s="83">
        <v>45142</v>
      </c>
      <c r="H139" s="457"/>
      <c r="I139" s="338" t="s">
        <v>357</v>
      </c>
      <c r="J139" s="335" t="s">
        <v>336</v>
      </c>
      <c r="K139" s="443">
        <v>4</v>
      </c>
      <c r="L139" s="458"/>
      <c r="M139" s="137">
        <f t="shared" si="36"/>
        <v>4</v>
      </c>
      <c r="N139" s="433"/>
      <c r="O139" s="438"/>
      <c r="P139" s="87">
        <f t="shared" si="37"/>
        <v>4</v>
      </c>
    </row>
    <row r="140" spans="1:18" s="9" customFormat="1" ht="33" customHeight="1" x14ac:dyDescent="0.25">
      <c r="A140" s="89"/>
      <c r="B140" s="379"/>
      <c r="C140" s="810" t="s">
        <v>380</v>
      </c>
      <c r="D140" s="455">
        <v>45276</v>
      </c>
      <c r="E140" s="428" t="s">
        <v>50</v>
      </c>
      <c r="F140" s="520"/>
      <c r="G140" s="83">
        <v>45154</v>
      </c>
      <c r="H140" s="457"/>
      <c r="I140" s="338" t="s">
        <v>376</v>
      </c>
      <c r="J140" s="335" t="s">
        <v>372</v>
      </c>
      <c r="K140" s="443">
        <v>1</v>
      </c>
      <c r="L140" s="458"/>
      <c r="M140" s="137">
        <f t="shared" si="36"/>
        <v>1</v>
      </c>
      <c r="N140" s="433"/>
      <c r="O140" s="438"/>
      <c r="P140" s="87">
        <f t="shared" si="37"/>
        <v>1</v>
      </c>
    </row>
    <row r="141" spans="1:18" s="9" customFormat="1" ht="33" customHeight="1" x14ac:dyDescent="0.25">
      <c r="A141" s="89"/>
      <c r="B141" s="379"/>
      <c r="C141" s="813"/>
      <c r="D141" s="455">
        <v>45276</v>
      </c>
      <c r="E141" s="428" t="s">
        <v>50</v>
      </c>
      <c r="F141" s="520"/>
      <c r="G141" s="83">
        <v>45154</v>
      </c>
      <c r="H141" s="457"/>
      <c r="I141" s="338" t="s">
        <v>377</v>
      </c>
      <c r="J141" s="335" t="s">
        <v>373</v>
      </c>
      <c r="K141" s="443">
        <v>1</v>
      </c>
      <c r="L141" s="458"/>
      <c r="M141" s="137">
        <f t="shared" si="36"/>
        <v>1</v>
      </c>
      <c r="N141" s="433"/>
      <c r="O141" s="438"/>
      <c r="P141" s="87">
        <f t="shared" si="37"/>
        <v>1</v>
      </c>
    </row>
    <row r="142" spans="1:18" s="9" customFormat="1" ht="33" customHeight="1" x14ac:dyDescent="0.25">
      <c r="A142" s="89"/>
      <c r="B142" s="379"/>
      <c r="C142" s="811"/>
      <c r="D142" s="455">
        <v>45276</v>
      </c>
      <c r="E142" s="428" t="s">
        <v>50</v>
      </c>
      <c r="F142" s="520"/>
      <c r="G142" s="83">
        <v>45154</v>
      </c>
      <c r="H142" s="457"/>
      <c r="I142" s="338" t="s">
        <v>378</v>
      </c>
      <c r="J142" s="335" t="s">
        <v>374</v>
      </c>
      <c r="K142" s="443">
        <v>2</v>
      </c>
      <c r="L142" s="458"/>
      <c r="M142" s="137">
        <f t="shared" si="36"/>
        <v>2</v>
      </c>
      <c r="N142" s="433"/>
      <c r="O142" s="438"/>
      <c r="P142" s="87">
        <f t="shared" si="37"/>
        <v>2</v>
      </c>
    </row>
    <row r="143" spans="1:18" s="9" customFormat="1" ht="33" customHeight="1" x14ac:dyDescent="0.25">
      <c r="A143" s="89"/>
      <c r="B143" s="379"/>
      <c r="C143" s="554" t="s">
        <v>381</v>
      </c>
      <c r="D143" s="455">
        <v>45276</v>
      </c>
      <c r="E143" s="428" t="s">
        <v>50</v>
      </c>
      <c r="F143" s="520"/>
      <c r="G143" s="83">
        <v>45154</v>
      </c>
      <c r="H143" s="457"/>
      <c r="I143" s="338" t="s">
        <v>379</v>
      </c>
      <c r="J143" s="335" t="s">
        <v>375</v>
      </c>
      <c r="K143" s="443">
        <v>1</v>
      </c>
      <c r="L143" s="458"/>
      <c r="M143" s="137">
        <f t="shared" si="36"/>
        <v>1</v>
      </c>
      <c r="N143" s="433">
        <v>1</v>
      </c>
      <c r="O143" s="438"/>
      <c r="P143" s="87">
        <f t="shared" si="37"/>
        <v>0</v>
      </c>
    </row>
    <row r="144" spans="1:18" s="9" customFormat="1" ht="33" customHeight="1" x14ac:dyDescent="0.25">
      <c r="A144" s="89"/>
      <c r="B144" s="379"/>
      <c r="C144" s="554" t="s">
        <v>726</v>
      </c>
      <c r="D144" s="455">
        <v>45495</v>
      </c>
      <c r="E144" s="428" t="s">
        <v>50</v>
      </c>
      <c r="F144" s="520"/>
      <c r="G144" s="83">
        <v>45313</v>
      </c>
      <c r="H144" s="457"/>
      <c r="I144" s="338" t="s">
        <v>724</v>
      </c>
      <c r="J144" s="335" t="s">
        <v>725</v>
      </c>
      <c r="K144" s="513">
        <v>1</v>
      </c>
      <c r="L144" s="458"/>
      <c r="M144" s="137">
        <f t="shared" si="36"/>
        <v>1</v>
      </c>
      <c r="N144" s="433"/>
      <c r="O144" s="438"/>
      <c r="P144" s="87">
        <f t="shared" si="37"/>
        <v>1</v>
      </c>
    </row>
    <row r="145" spans="1:16" s="9" customFormat="1" ht="32.25" customHeight="1" x14ac:dyDescent="0.25">
      <c r="A145" s="89"/>
      <c r="B145" s="379"/>
      <c r="C145" s="514"/>
      <c r="D145" s="455">
        <v>44941</v>
      </c>
      <c r="E145" s="428" t="s">
        <v>50</v>
      </c>
      <c r="F145" s="456"/>
      <c r="G145" s="83">
        <v>44921</v>
      </c>
      <c r="H145" s="457"/>
      <c r="I145" s="338" t="s">
        <v>160</v>
      </c>
      <c r="J145" s="335" t="s">
        <v>159</v>
      </c>
      <c r="K145" s="443">
        <v>1</v>
      </c>
      <c r="L145" s="458"/>
      <c r="M145" s="137">
        <f>K145</f>
        <v>1</v>
      </c>
      <c r="N145" s="433"/>
      <c r="O145" s="438"/>
      <c r="P145" s="87">
        <f>M145-N145</f>
        <v>1</v>
      </c>
    </row>
    <row r="146" spans="1:16" s="9" customFormat="1" ht="32.25" customHeight="1" x14ac:dyDescent="0.25">
      <c r="A146" s="89"/>
      <c r="B146" s="379"/>
      <c r="C146" s="554" t="s">
        <v>739</v>
      </c>
      <c r="D146" s="455">
        <v>45465</v>
      </c>
      <c r="E146" s="428" t="s">
        <v>50</v>
      </c>
      <c r="F146" s="456"/>
      <c r="G146" s="83">
        <v>45323</v>
      </c>
      <c r="H146" s="457"/>
      <c r="I146" s="338" t="s">
        <v>737</v>
      </c>
      <c r="J146" s="335" t="s">
        <v>728</v>
      </c>
      <c r="K146" s="513">
        <v>1</v>
      </c>
      <c r="L146" s="458"/>
      <c r="M146" s="137">
        <f t="shared" ref="M146:M147" si="38">K146</f>
        <v>1</v>
      </c>
      <c r="N146" s="433"/>
      <c r="O146" s="438"/>
      <c r="P146" s="87">
        <f t="shared" ref="P146:P147" si="39">M146-N146</f>
        <v>1</v>
      </c>
    </row>
    <row r="147" spans="1:16" s="9" customFormat="1" ht="32.25" customHeight="1" x14ac:dyDescent="0.25">
      <c r="A147" s="89"/>
      <c r="B147" s="379"/>
      <c r="C147" s="554" t="s">
        <v>740</v>
      </c>
      <c r="D147" s="455">
        <v>45495</v>
      </c>
      <c r="E147" s="428" t="s">
        <v>50</v>
      </c>
      <c r="F147" s="456"/>
      <c r="G147" s="83">
        <v>45323</v>
      </c>
      <c r="H147" s="457"/>
      <c r="I147" s="338" t="s">
        <v>738</v>
      </c>
      <c r="J147" s="335" t="s">
        <v>270</v>
      </c>
      <c r="K147" s="513">
        <v>1</v>
      </c>
      <c r="L147" s="458"/>
      <c r="M147" s="137">
        <f t="shared" si="38"/>
        <v>1</v>
      </c>
      <c r="N147" s="433"/>
      <c r="O147" s="438"/>
      <c r="P147" s="87">
        <f t="shared" si="39"/>
        <v>1</v>
      </c>
    </row>
    <row r="148" spans="1:16" s="9" customFormat="1" ht="32.25" customHeight="1" x14ac:dyDescent="0.25">
      <c r="A148" s="89"/>
      <c r="B148" s="379"/>
      <c r="C148" s="810" t="s">
        <v>760</v>
      </c>
      <c r="D148" s="455">
        <v>45450</v>
      </c>
      <c r="E148" s="428" t="s">
        <v>50</v>
      </c>
      <c r="F148" s="456"/>
      <c r="G148" s="83">
        <v>45329</v>
      </c>
      <c r="H148" s="457"/>
      <c r="I148" s="338" t="s">
        <v>753</v>
      </c>
      <c r="J148" s="335" t="s">
        <v>521</v>
      </c>
      <c r="K148" s="513">
        <v>8</v>
      </c>
      <c r="L148" s="458"/>
      <c r="M148" s="137">
        <f t="shared" ref="M148:M149" si="40">K148</f>
        <v>8</v>
      </c>
      <c r="N148" s="433"/>
      <c r="O148" s="438"/>
      <c r="P148" s="87">
        <f t="shared" ref="P148:P149" si="41">M148-N148</f>
        <v>8</v>
      </c>
    </row>
    <row r="149" spans="1:16" s="9" customFormat="1" ht="32.25" customHeight="1" x14ac:dyDescent="0.25">
      <c r="A149" s="89"/>
      <c r="B149" s="379"/>
      <c r="C149" s="811"/>
      <c r="D149" s="455">
        <v>45511</v>
      </c>
      <c r="E149" s="428" t="s">
        <v>50</v>
      </c>
      <c r="F149" s="456"/>
      <c r="G149" s="83">
        <v>45329</v>
      </c>
      <c r="H149" s="457"/>
      <c r="I149" s="338" t="s">
        <v>758</v>
      </c>
      <c r="J149" s="335" t="s">
        <v>759</v>
      </c>
      <c r="K149" s="513">
        <v>7</v>
      </c>
      <c r="L149" s="458"/>
      <c r="M149" s="137">
        <f t="shared" si="40"/>
        <v>7</v>
      </c>
      <c r="N149" s="433"/>
      <c r="O149" s="438"/>
      <c r="P149" s="87">
        <f t="shared" si="41"/>
        <v>7</v>
      </c>
    </row>
    <row r="150" spans="1:16" s="9" customFormat="1" ht="32.25" customHeight="1" x14ac:dyDescent="0.25">
      <c r="A150" s="89"/>
      <c r="B150" s="379"/>
      <c r="C150" s="510" t="s">
        <v>428</v>
      </c>
      <c r="D150" s="455">
        <v>45317</v>
      </c>
      <c r="E150" s="428" t="s">
        <v>50</v>
      </c>
      <c r="F150" s="456"/>
      <c r="G150" s="83">
        <v>45196</v>
      </c>
      <c r="H150" s="457"/>
      <c r="I150" s="338" t="s">
        <v>429</v>
      </c>
      <c r="J150" s="335" t="s">
        <v>270</v>
      </c>
      <c r="K150" s="443">
        <v>1</v>
      </c>
      <c r="L150" s="458"/>
      <c r="M150" s="137">
        <f t="shared" si="36"/>
        <v>1</v>
      </c>
      <c r="N150" s="433"/>
      <c r="O150" s="438"/>
      <c r="P150" s="87">
        <f t="shared" si="37"/>
        <v>1</v>
      </c>
    </row>
    <row r="151" spans="1:16" s="9" customFormat="1" ht="38.25" customHeight="1" x14ac:dyDescent="0.25">
      <c r="A151" s="89"/>
      <c r="B151" s="379"/>
      <c r="C151" s="810" t="s">
        <v>430</v>
      </c>
      <c r="D151" s="455">
        <v>45317</v>
      </c>
      <c r="E151" s="428" t="s">
        <v>50</v>
      </c>
      <c r="F151" s="456"/>
      <c r="G151" s="83">
        <v>45195</v>
      </c>
      <c r="H151" s="457"/>
      <c r="I151" s="338" t="s">
        <v>441</v>
      </c>
      <c r="J151" s="335" t="s">
        <v>395</v>
      </c>
      <c r="K151" s="513">
        <v>1</v>
      </c>
      <c r="L151" s="458"/>
      <c r="M151" s="137">
        <f t="shared" si="36"/>
        <v>1</v>
      </c>
      <c r="N151" s="433"/>
      <c r="O151" s="438"/>
      <c r="P151" s="87">
        <f t="shared" si="37"/>
        <v>1</v>
      </c>
    </row>
    <row r="152" spans="1:16" s="9" customFormat="1" ht="32.25" customHeight="1" x14ac:dyDescent="0.25">
      <c r="A152" s="89"/>
      <c r="B152" s="379"/>
      <c r="C152" s="813"/>
      <c r="D152" s="455">
        <v>45285</v>
      </c>
      <c r="E152" s="428" t="s">
        <v>50</v>
      </c>
      <c r="F152" s="456"/>
      <c r="G152" s="83">
        <v>45195</v>
      </c>
      <c r="H152" s="457"/>
      <c r="I152" s="338" t="s">
        <v>447</v>
      </c>
      <c r="J152" s="335" t="s">
        <v>396</v>
      </c>
      <c r="K152" s="513">
        <v>1</v>
      </c>
      <c r="L152" s="458"/>
      <c r="M152" s="137">
        <f t="shared" si="36"/>
        <v>1</v>
      </c>
      <c r="N152" s="433"/>
      <c r="O152" s="438"/>
      <c r="P152" s="87">
        <f t="shared" si="37"/>
        <v>1</v>
      </c>
    </row>
    <row r="153" spans="1:16" s="9" customFormat="1" ht="32.25" customHeight="1" x14ac:dyDescent="0.25">
      <c r="A153" s="89"/>
      <c r="B153" s="379"/>
      <c r="C153" s="813"/>
      <c r="D153" s="455">
        <v>45285</v>
      </c>
      <c r="E153" s="428" t="s">
        <v>50</v>
      </c>
      <c r="F153" s="456"/>
      <c r="G153" s="83">
        <v>45195</v>
      </c>
      <c r="H153" s="457"/>
      <c r="I153" s="338" t="s">
        <v>448</v>
      </c>
      <c r="J153" s="335" t="s">
        <v>124</v>
      </c>
      <c r="K153" s="513">
        <v>2</v>
      </c>
      <c r="L153" s="458"/>
      <c r="M153" s="137">
        <f t="shared" si="36"/>
        <v>2</v>
      </c>
      <c r="N153" s="433"/>
      <c r="O153" s="438"/>
      <c r="P153" s="87">
        <f t="shared" si="37"/>
        <v>2</v>
      </c>
    </row>
    <row r="154" spans="1:16" s="9" customFormat="1" ht="37.5" customHeight="1" x14ac:dyDescent="0.25">
      <c r="A154" s="89"/>
      <c r="B154" s="379"/>
      <c r="C154" s="813"/>
      <c r="D154" s="455">
        <v>45317</v>
      </c>
      <c r="E154" s="428" t="s">
        <v>50</v>
      </c>
      <c r="F154" s="456"/>
      <c r="G154" s="83">
        <v>45195</v>
      </c>
      <c r="H154" s="457"/>
      <c r="I154" s="338" t="s">
        <v>442</v>
      </c>
      <c r="J154" s="335" t="s">
        <v>431</v>
      </c>
      <c r="K154" s="513">
        <v>2</v>
      </c>
      <c r="L154" s="458"/>
      <c r="M154" s="137">
        <f t="shared" si="36"/>
        <v>2</v>
      </c>
      <c r="N154" s="433">
        <v>2</v>
      </c>
      <c r="O154" s="438"/>
      <c r="P154" s="87">
        <f t="shared" si="37"/>
        <v>0</v>
      </c>
    </row>
    <row r="155" spans="1:16" s="9" customFormat="1" ht="36.75" customHeight="1" x14ac:dyDescent="0.25">
      <c r="A155" s="89"/>
      <c r="B155" s="379"/>
      <c r="C155" s="813"/>
      <c r="D155" s="455">
        <v>45285</v>
      </c>
      <c r="E155" s="428" t="s">
        <v>50</v>
      </c>
      <c r="F155" s="456"/>
      <c r="G155" s="83">
        <v>45195</v>
      </c>
      <c r="H155" s="457"/>
      <c r="I155" s="338" t="s">
        <v>449</v>
      </c>
      <c r="J155" s="335" t="s">
        <v>432</v>
      </c>
      <c r="K155" s="513">
        <v>1</v>
      </c>
      <c r="L155" s="458"/>
      <c r="M155" s="137">
        <f t="shared" si="36"/>
        <v>1</v>
      </c>
      <c r="N155" s="433"/>
      <c r="O155" s="438"/>
      <c r="P155" s="87">
        <f t="shared" si="37"/>
        <v>1</v>
      </c>
    </row>
    <row r="156" spans="1:16" s="9" customFormat="1" ht="32.25" customHeight="1" x14ac:dyDescent="0.25">
      <c r="A156" s="89"/>
      <c r="B156" s="379"/>
      <c r="C156" s="813"/>
      <c r="D156" s="455">
        <v>45317</v>
      </c>
      <c r="E156" s="428" t="s">
        <v>50</v>
      </c>
      <c r="F156" s="456"/>
      <c r="G156" s="83">
        <v>45195</v>
      </c>
      <c r="H156" s="457"/>
      <c r="I156" s="338" t="s">
        <v>443</v>
      </c>
      <c r="J156" s="335" t="s">
        <v>433</v>
      </c>
      <c r="K156" s="513">
        <v>2</v>
      </c>
      <c r="L156" s="458"/>
      <c r="M156" s="137">
        <f t="shared" si="36"/>
        <v>2</v>
      </c>
      <c r="N156" s="433"/>
      <c r="O156" s="438"/>
      <c r="P156" s="87">
        <f t="shared" si="37"/>
        <v>2</v>
      </c>
    </row>
    <row r="157" spans="1:16" s="9" customFormat="1" ht="32.25" customHeight="1" x14ac:dyDescent="0.25">
      <c r="A157" s="89"/>
      <c r="B157" s="379"/>
      <c r="C157" s="813"/>
      <c r="D157" s="455">
        <v>45317</v>
      </c>
      <c r="E157" s="428" t="s">
        <v>50</v>
      </c>
      <c r="F157" s="456"/>
      <c r="G157" s="83">
        <v>45195</v>
      </c>
      <c r="H157" s="457"/>
      <c r="I157" s="338" t="s">
        <v>444</v>
      </c>
      <c r="J157" s="335" t="s">
        <v>434</v>
      </c>
      <c r="K157" s="513">
        <v>1</v>
      </c>
      <c r="L157" s="458"/>
      <c r="M157" s="137">
        <f t="shared" si="36"/>
        <v>1</v>
      </c>
      <c r="N157" s="433"/>
      <c r="O157" s="438"/>
      <c r="P157" s="87">
        <f t="shared" si="37"/>
        <v>1</v>
      </c>
    </row>
    <row r="158" spans="1:16" s="9" customFormat="1" ht="32.25" customHeight="1" x14ac:dyDescent="0.25">
      <c r="A158" s="89"/>
      <c r="B158" s="379"/>
      <c r="C158" s="813"/>
      <c r="D158" s="455">
        <v>45317</v>
      </c>
      <c r="E158" s="428" t="s">
        <v>50</v>
      </c>
      <c r="F158" s="456"/>
      <c r="G158" s="83">
        <v>45195</v>
      </c>
      <c r="H158" s="457"/>
      <c r="I158" s="338" t="s">
        <v>446</v>
      </c>
      <c r="J158" s="335" t="s">
        <v>436</v>
      </c>
      <c r="K158" s="513">
        <v>2</v>
      </c>
      <c r="L158" s="458"/>
      <c r="M158" s="137">
        <f t="shared" si="36"/>
        <v>2</v>
      </c>
      <c r="N158" s="433"/>
      <c r="O158" s="438"/>
      <c r="P158" s="87">
        <f t="shared" si="37"/>
        <v>2</v>
      </c>
    </row>
    <row r="159" spans="1:16" s="9" customFormat="1" ht="32.25" customHeight="1" x14ac:dyDescent="0.25">
      <c r="A159" s="89"/>
      <c r="B159" s="379"/>
      <c r="C159" s="813"/>
      <c r="D159" s="455">
        <v>45285</v>
      </c>
      <c r="E159" s="428" t="s">
        <v>50</v>
      </c>
      <c r="F159" s="456"/>
      <c r="G159" s="83">
        <v>45195</v>
      </c>
      <c r="H159" s="457"/>
      <c r="I159" s="338" t="s">
        <v>450</v>
      </c>
      <c r="J159" s="335" t="s">
        <v>437</v>
      </c>
      <c r="K159" s="513">
        <v>1</v>
      </c>
      <c r="L159" s="458"/>
      <c r="M159" s="137">
        <f t="shared" si="36"/>
        <v>1</v>
      </c>
      <c r="N159" s="433">
        <v>1</v>
      </c>
      <c r="O159" s="438"/>
      <c r="P159" s="87">
        <f t="shared" si="37"/>
        <v>0</v>
      </c>
    </row>
    <row r="160" spans="1:16" s="9" customFormat="1" ht="32.25" customHeight="1" x14ac:dyDescent="0.25">
      <c r="A160" s="89"/>
      <c r="B160" s="379"/>
      <c r="C160" s="813"/>
      <c r="D160" s="455">
        <v>45285</v>
      </c>
      <c r="E160" s="428" t="s">
        <v>50</v>
      </c>
      <c r="F160" s="456"/>
      <c r="G160" s="83">
        <v>45195</v>
      </c>
      <c r="H160" s="457"/>
      <c r="I160" s="338" t="s">
        <v>451</v>
      </c>
      <c r="J160" s="335" t="s">
        <v>438</v>
      </c>
      <c r="K160" s="513">
        <v>1</v>
      </c>
      <c r="L160" s="458"/>
      <c r="M160" s="137">
        <f t="shared" si="36"/>
        <v>1</v>
      </c>
      <c r="N160" s="433"/>
      <c r="O160" s="438"/>
      <c r="P160" s="87">
        <f t="shared" si="37"/>
        <v>1</v>
      </c>
    </row>
    <row r="161" spans="1:16" s="9" customFormat="1" ht="32.25" customHeight="1" x14ac:dyDescent="0.25">
      <c r="A161" s="89"/>
      <c r="B161" s="379"/>
      <c r="C161" s="813"/>
      <c r="D161" s="455">
        <v>45285</v>
      </c>
      <c r="E161" s="428" t="s">
        <v>50</v>
      </c>
      <c r="F161" s="456"/>
      <c r="G161" s="83">
        <v>45195</v>
      </c>
      <c r="H161" s="457"/>
      <c r="I161" s="338" t="s">
        <v>452</v>
      </c>
      <c r="J161" s="335" t="s">
        <v>439</v>
      </c>
      <c r="K161" s="513">
        <v>1</v>
      </c>
      <c r="L161" s="458"/>
      <c r="M161" s="137">
        <f t="shared" si="36"/>
        <v>1</v>
      </c>
      <c r="N161" s="433"/>
      <c r="O161" s="438"/>
      <c r="P161" s="87">
        <f t="shared" si="37"/>
        <v>1</v>
      </c>
    </row>
    <row r="162" spans="1:16" s="9" customFormat="1" ht="40.5" customHeight="1" x14ac:dyDescent="0.25">
      <c r="A162" s="89"/>
      <c r="B162" s="379"/>
      <c r="C162" s="811"/>
      <c r="D162" s="455">
        <v>45285</v>
      </c>
      <c r="E162" s="428" t="s">
        <v>50</v>
      </c>
      <c r="F162" s="456"/>
      <c r="G162" s="83">
        <v>45195</v>
      </c>
      <c r="H162" s="457"/>
      <c r="I162" s="338" t="s">
        <v>453</v>
      </c>
      <c r="J162" s="335" t="s">
        <v>440</v>
      </c>
      <c r="K162" s="513">
        <v>1</v>
      </c>
      <c r="L162" s="458"/>
      <c r="M162" s="137">
        <f t="shared" si="36"/>
        <v>1</v>
      </c>
      <c r="N162" s="433"/>
      <c r="O162" s="438"/>
      <c r="P162" s="87">
        <f t="shared" si="37"/>
        <v>1</v>
      </c>
    </row>
    <row r="163" spans="1:16" s="9" customFormat="1" ht="78" customHeight="1" x14ac:dyDescent="0.25">
      <c r="A163" s="89"/>
      <c r="B163" s="379"/>
      <c r="C163" s="554" t="s">
        <v>454</v>
      </c>
      <c r="D163" s="455">
        <v>45317</v>
      </c>
      <c r="E163" s="428" t="s">
        <v>50</v>
      </c>
      <c r="F163" s="632"/>
      <c r="G163" s="83">
        <v>45195</v>
      </c>
      <c r="H163" s="457"/>
      <c r="I163" s="338" t="s">
        <v>457</v>
      </c>
      <c r="J163" s="335" t="s">
        <v>455</v>
      </c>
      <c r="K163" s="513">
        <v>2</v>
      </c>
      <c r="L163" s="458"/>
      <c r="M163" s="137">
        <f t="shared" si="36"/>
        <v>2</v>
      </c>
      <c r="N163" s="433"/>
      <c r="O163" s="438"/>
      <c r="P163" s="87">
        <f t="shared" si="37"/>
        <v>2</v>
      </c>
    </row>
    <row r="164" spans="1:16" s="9" customFormat="1" ht="38.25" customHeight="1" x14ac:dyDescent="0.25">
      <c r="A164" s="89"/>
      <c r="B164" s="379"/>
      <c r="C164" s="810" t="s">
        <v>403</v>
      </c>
      <c r="D164" s="455">
        <v>45278</v>
      </c>
      <c r="E164" s="428" t="s">
        <v>50</v>
      </c>
      <c r="F164" s="456"/>
      <c r="G164" s="83">
        <v>45187</v>
      </c>
      <c r="H164" s="457"/>
      <c r="I164" s="338" t="s">
        <v>398</v>
      </c>
      <c r="J164" s="335" t="s">
        <v>395</v>
      </c>
      <c r="K164" s="513">
        <v>1</v>
      </c>
      <c r="L164" s="458"/>
      <c r="M164" s="137">
        <f t="shared" si="36"/>
        <v>1</v>
      </c>
      <c r="N164" s="433"/>
      <c r="O164" s="438"/>
      <c r="P164" s="87">
        <f t="shared" si="37"/>
        <v>1</v>
      </c>
    </row>
    <row r="165" spans="1:16" s="9" customFormat="1" ht="32.25" customHeight="1" x14ac:dyDescent="0.25">
      <c r="A165" s="89"/>
      <c r="B165" s="379"/>
      <c r="C165" s="813"/>
      <c r="D165" s="455">
        <v>45278</v>
      </c>
      <c r="E165" s="428" t="s">
        <v>50</v>
      </c>
      <c r="F165" s="456"/>
      <c r="G165" s="83">
        <v>45187</v>
      </c>
      <c r="H165" s="457"/>
      <c r="I165" s="338" t="s">
        <v>399</v>
      </c>
      <c r="J165" s="335" t="s">
        <v>396</v>
      </c>
      <c r="K165" s="513">
        <v>1</v>
      </c>
      <c r="L165" s="458"/>
      <c r="M165" s="137">
        <f t="shared" si="36"/>
        <v>1</v>
      </c>
      <c r="N165" s="433"/>
      <c r="O165" s="438"/>
      <c r="P165" s="87">
        <f t="shared" si="37"/>
        <v>1</v>
      </c>
    </row>
    <row r="166" spans="1:16" s="9" customFormat="1" ht="32.25" customHeight="1" x14ac:dyDescent="0.25">
      <c r="A166" s="89"/>
      <c r="B166" s="379"/>
      <c r="C166" s="813"/>
      <c r="D166" s="455">
        <v>45278</v>
      </c>
      <c r="E166" s="428" t="s">
        <v>50</v>
      </c>
      <c r="F166" s="456"/>
      <c r="G166" s="83">
        <v>45187</v>
      </c>
      <c r="H166" s="457"/>
      <c r="I166" s="338" t="s">
        <v>400</v>
      </c>
      <c r="J166" s="335" t="s">
        <v>123</v>
      </c>
      <c r="K166" s="513">
        <f>40+50</f>
        <v>90</v>
      </c>
      <c r="L166" s="458"/>
      <c r="M166" s="137">
        <f t="shared" ref="M166:M191" si="42">K166</f>
        <v>90</v>
      </c>
      <c r="N166" s="433">
        <v>90</v>
      </c>
      <c r="O166" s="438"/>
      <c r="P166" s="87">
        <f t="shared" ref="P166:P191" si="43">M166-N166</f>
        <v>0</v>
      </c>
    </row>
    <row r="167" spans="1:16" s="9" customFormat="1" ht="32.25" customHeight="1" x14ac:dyDescent="0.25">
      <c r="A167" s="89"/>
      <c r="B167" s="379"/>
      <c r="C167" s="813"/>
      <c r="D167" s="455">
        <v>45278</v>
      </c>
      <c r="E167" s="428" t="s">
        <v>50</v>
      </c>
      <c r="F167" s="456"/>
      <c r="G167" s="83">
        <v>45187</v>
      </c>
      <c r="H167" s="457"/>
      <c r="I167" s="338" t="s">
        <v>401</v>
      </c>
      <c r="J167" s="335" t="s">
        <v>124</v>
      </c>
      <c r="K167" s="513">
        <v>2</v>
      </c>
      <c r="L167" s="458"/>
      <c r="M167" s="137">
        <f t="shared" si="42"/>
        <v>2</v>
      </c>
      <c r="N167" s="433"/>
      <c r="O167" s="438"/>
      <c r="P167" s="87">
        <f t="shared" si="43"/>
        <v>2</v>
      </c>
    </row>
    <row r="168" spans="1:16" s="121" customFormat="1" ht="31.5" customHeight="1" x14ac:dyDescent="0.25">
      <c r="A168" s="78"/>
      <c r="B168" s="132"/>
      <c r="C168" s="790" t="s">
        <v>473</v>
      </c>
      <c r="D168" s="351">
        <v>45331</v>
      </c>
      <c r="E168" s="365" t="s">
        <v>50</v>
      </c>
      <c r="F168" s="93"/>
      <c r="G168" s="426">
        <v>45208</v>
      </c>
      <c r="H168" s="134"/>
      <c r="I168" s="468" t="s">
        <v>470</v>
      </c>
      <c r="J168" s="336" t="s">
        <v>130</v>
      </c>
      <c r="K168" s="513">
        <v>21</v>
      </c>
      <c r="L168" s="135"/>
      <c r="M168" s="87">
        <f t="shared" si="42"/>
        <v>21</v>
      </c>
      <c r="N168" s="130">
        <v>21</v>
      </c>
      <c r="O168" s="135"/>
      <c r="P168" s="137">
        <f t="shared" si="43"/>
        <v>0</v>
      </c>
    </row>
    <row r="169" spans="1:16" s="121" customFormat="1" ht="39.6" x14ac:dyDescent="0.25">
      <c r="A169" s="78"/>
      <c r="B169" s="132"/>
      <c r="C169" s="791"/>
      <c r="D169" s="351">
        <v>45331</v>
      </c>
      <c r="E169" s="365" t="s">
        <v>50</v>
      </c>
      <c r="F169" s="93"/>
      <c r="G169" s="426">
        <v>45208</v>
      </c>
      <c r="H169" s="134"/>
      <c r="I169" s="468" t="s">
        <v>471</v>
      </c>
      <c r="J169" s="336" t="s">
        <v>312</v>
      </c>
      <c r="K169" s="513">
        <v>21</v>
      </c>
      <c r="L169" s="135"/>
      <c r="M169" s="87">
        <f t="shared" si="42"/>
        <v>21</v>
      </c>
      <c r="N169" s="130">
        <v>21</v>
      </c>
      <c r="O169" s="135"/>
      <c r="P169" s="137">
        <f t="shared" si="43"/>
        <v>0</v>
      </c>
    </row>
    <row r="170" spans="1:16" s="121" customFormat="1" ht="39.6" x14ac:dyDescent="0.25">
      <c r="A170" s="78"/>
      <c r="B170" s="132"/>
      <c r="C170" s="792"/>
      <c r="D170" s="351">
        <v>45331</v>
      </c>
      <c r="E170" s="365" t="s">
        <v>50</v>
      </c>
      <c r="F170" s="93"/>
      <c r="G170" s="426">
        <v>45208</v>
      </c>
      <c r="H170" s="134"/>
      <c r="I170" s="468" t="s">
        <v>472</v>
      </c>
      <c r="J170" s="336" t="s">
        <v>313</v>
      </c>
      <c r="K170" s="513">
        <v>21</v>
      </c>
      <c r="L170" s="135"/>
      <c r="M170" s="87">
        <f t="shared" si="42"/>
        <v>21</v>
      </c>
      <c r="N170" s="130">
        <v>21</v>
      </c>
      <c r="O170" s="135"/>
      <c r="P170" s="137">
        <f t="shared" si="43"/>
        <v>0</v>
      </c>
    </row>
    <row r="171" spans="1:16" s="121" customFormat="1" ht="31.5" customHeight="1" x14ac:dyDescent="0.25">
      <c r="A171" s="78"/>
      <c r="B171" s="132"/>
      <c r="C171" s="790" t="s">
        <v>473</v>
      </c>
      <c r="D171" s="822" t="s">
        <v>754</v>
      </c>
      <c r="E171" s="365" t="s">
        <v>50</v>
      </c>
      <c r="F171" s="93"/>
      <c r="G171" s="426"/>
      <c r="H171" s="134"/>
      <c r="I171" s="468" t="s">
        <v>805</v>
      </c>
      <c r="J171" s="336" t="s">
        <v>130</v>
      </c>
      <c r="K171" s="513">
        <v>1</v>
      </c>
      <c r="L171" s="135"/>
      <c r="M171" s="87">
        <f t="shared" ref="M171:M173" si="44">K171</f>
        <v>1</v>
      </c>
      <c r="N171" s="130">
        <v>1</v>
      </c>
      <c r="O171" s="135"/>
      <c r="P171" s="137">
        <f t="shared" ref="P171:P173" si="45">M171-N171</f>
        <v>0</v>
      </c>
    </row>
    <row r="172" spans="1:16" s="121" customFormat="1" ht="39.6" x14ac:dyDescent="0.25">
      <c r="A172" s="78"/>
      <c r="B172" s="132"/>
      <c r="C172" s="791"/>
      <c r="D172" s="823"/>
      <c r="E172" s="365" t="s">
        <v>50</v>
      </c>
      <c r="F172" s="93"/>
      <c r="G172" s="426"/>
      <c r="H172" s="134"/>
      <c r="I172" s="468" t="s">
        <v>806</v>
      </c>
      <c r="J172" s="336" t="s">
        <v>312</v>
      </c>
      <c r="K172" s="513">
        <v>1</v>
      </c>
      <c r="L172" s="135"/>
      <c r="M172" s="87">
        <f t="shared" si="44"/>
        <v>1</v>
      </c>
      <c r="N172" s="130">
        <v>1</v>
      </c>
      <c r="O172" s="135"/>
      <c r="P172" s="137">
        <f t="shared" si="45"/>
        <v>0</v>
      </c>
    </row>
    <row r="173" spans="1:16" s="121" customFormat="1" ht="39.6" x14ac:dyDescent="0.25">
      <c r="A173" s="78"/>
      <c r="B173" s="132"/>
      <c r="C173" s="792"/>
      <c r="D173" s="824"/>
      <c r="E173" s="365" t="s">
        <v>50</v>
      </c>
      <c r="F173" s="93"/>
      <c r="G173" s="426"/>
      <c r="H173" s="134"/>
      <c r="I173" s="468" t="s">
        <v>752</v>
      </c>
      <c r="J173" s="336" t="s">
        <v>313</v>
      </c>
      <c r="K173" s="513">
        <v>1</v>
      </c>
      <c r="L173" s="135"/>
      <c r="M173" s="87">
        <f t="shared" si="44"/>
        <v>1</v>
      </c>
      <c r="N173" s="130">
        <v>1</v>
      </c>
      <c r="O173" s="135"/>
      <c r="P173" s="137">
        <f t="shared" si="45"/>
        <v>0</v>
      </c>
    </row>
    <row r="174" spans="1:16" s="9" customFormat="1" ht="28.5" customHeight="1" x14ac:dyDescent="0.25">
      <c r="A174" s="78"/>
      <c r="B174" s="132"/>
      <c r="C174" s="489" t="s">
        <v>418</v>
      </c>
      <c r="D174" s="552">
        <v>45270</v>
      </c>
      <c r="E174" s="365" t="s">
        <v>50</v>
      </c>
      <c r="F174" s="583"/>
      <c r="G174" s="426">
        <v>45238</v>
      </c>
      <c r="H174" s="457"/>
      <c r="I174" s="468" t="s">
        <v>520</v>
      </c>
      <c r="J174" s="336" t="s">
        <v>521</v>
      </c>
      <c r="K174" s="513">
        <v>6</v>
      </c>
      <c r="L174" s="458"/>
      <c r="M174" s="137">
        <f t="shared" si="42"/>
        <v>6</v>
      </c>
      <c r="N174" s="130"/>
      <c r="O174" s="584"/>
      <c r="P174" s="137">
        <f t="shared" si="43"/>
        <v>6</v>
      </c>
    </row>
    <row r="175" spans="1:16" s="9" customFormat="1" ht="41.25" customHeight="1" x14ac:dyDescent="0.25">
      <c r="A175" s="78"/>
      <c r="B175" s="132"/>
      <c r="C175" s="471" t="s">
        <v>518</v>
      </c>
      <c r="D175" s="552">
        <v>44992</v>
      </c>
      <c r="E175" s="365" t="s">
        <v>50</v>
      </c>
      <c r="F175" s="583"/>
      <c r="G175" s="426">
        <v>45237</v>
      </c>
      <c r="H175" s="457"/>
      <c r="I175" s="468" t="s">
        <v>519</v>
      </c>
      <c r="J175" s="336" t="s">
        <v>131</v>
      </c>
      <c r="K175" s="513">
        <v>1</v>
      </c>
      <c r="L175" s="458"/>
      <c r="M175" s="137">
        <f t="shared" si="42"/>
        <v>1</v>
      </c>
      <c r="N175" s="130"/>
      <c r="O175" s="584"/>
      <c r="P175" s="137">
        <f t="shared" si="43"/>
        <v>1</v>
      </c>
    </row>
    <row r="176" spans="1:16" s="9" customFormat="1" ht="34.5" customHeight="1" x14ac:dyDescent="0.25">
      <c r="A176" s="78"/>
      <c r="B176" s="132"/>
      <c r="C176" s="471" t="s">
        <v>522</v>
      </c>
      <c r="D176" s="552">
        <v>45026</v>
      </c>
      <c r="E176" s="365" t="s">
        <v>50</v>
      </c>
      <c r="F176" s="583"/>
      <c r="G176" s="426">
        <v>45240</v>
      </c>
      <c r="H176" s="457"/>
      <c r="I176" s="468" t="s">
        <v>523</v>
      </c>
      <c r="J176" s="336" t="s">
        <v>211</v>
      </c>
      <c r="K176" s="513">
        <v>1</v>
      </c>
      <c r="L176" s="458"/>
      <c r="M176" s="137">
        <f t="shared" si="42"/>
        <v>1</v>
      </c>
      <c r="N176" s="130"/>
      <c r="O176" s="584"/>
      <c r="P176" s="137">
        <f t="shared" si="43"/>
        <v>1</v>
      </c>
    </row>
    <row r="177" spans="1:16" s="9" customFormat="1" ht="34.5" customHeight="1" x14ac:dyDescent="0.25">
      <c r="A177" s="78"/>
      <c r="B177" s="132"/>
      <c r="C177" s="471" t="s">
        <v>532</v>
      </c>
      <c r="D177" s="552">
        <v>45413</v>
      </c>
      <c r="E177" s="365" t="s">
        <v>50</v>
      </c>
      <c r="F177" s="583"/>
      <c r="G177" s="426">
        <v>45245</v>
      </c>
      <c r="H177" s="457"/>
      <c r="I177" s="468" t="s">
        <v>533</v>
      </c>
      <c r="J177" s="336" t="s">
        <v>534</v>
      </c>
      <c r="K177" s="513">
        <v>1</v>
      </c>
      <c r="L177" s="458"/>
      <c r="M177" s="137">
        <f t="shared" si="42"/>
        <v>1</v>
      </c>
      <c r="N177" s="130"/>
      <c r="O177" s="584"/>
      <c r="P177" s="137">
        <f t="shared" si="43"/>
        <v>1</v>
      </c>
    </row>
    <row r="178" spans="1:16" s="9" customFormat="1" ht="35.25" customHeight="1" x14ac:dyDescent="0.25">
      <c r="A178" s="78"/>
      <c r="B178" s="132"/>
      <c r="C178" s="790" t="s">
        <v>535</v>
      </c>
      <c r="D178" s="552">
        <v>45413</v>
      </c>
      <c r="E178" s="365" t="s">
        <v>50</v>
      </c>
      <c r="F178" s="583"/>
      <c r="G178" s="426"/>
      <c r="H178" s="457"/>
      <c r="I178" s="468" t="s">
        <v>536</v>
      </c>
      <c r="J178" s="336" t="s">
        <v>335</v>
      </c>
      <c r="K178" s="513">
        <v>1</v>
      </c>
      <c r="L178" s="458"/>
      <c r="M178" s="137">
        <f t="shared" si="42"/>
        <v>1</v>
      </c>
      <c r="N178" s="130"/>
      <c r="O178" s="584"/>
      <c r="P178" s="137">
        <f t="shared" si="43"/>
        <v>1</v>
      </c>
    </row>
    <row r="179" spans="1:16" s="9" customFormat="1" ht="26.4" x14ac:dyDescent="0.25">
      <c r="A179" s="78"/>
      <c r="B179" s="132"/>
      <c r="C179" s="791"/>
      <c r="D179" s="552">
        <v>45413</v>
      </c>
      <c r="E179" s="365" t="s">
        <v>50</v>
      </c>
      <c r="F179" s="583"/>
      <c r="G179" s="426"/>
      <c r="H179" s="457"/>
      <c r="I179" s="468" t="s">
        <v>537</v>
      </c>
      <c r="J179" s="336" t="s">
        <v>538</v>
      </c>
      <c r="K179" s="513">
        <v>2</v>
      </c>
      <c r="L179" s="458"/>
      <c r="M179" s="137">
        <f t="shared" si="42"/>
        <v>2</v>
      </c>
      <c r="N179" s="130"/>
      <c r="O179" s="584"/>
      <c r="P179" s="137">
        <f t="shared" si="43"/>
        <v>2</v>
      </c>
    </row>
    <row r="180" spans="1:16" s="9" customFormat="1" ht="26.4" x14ac:dyDescent="0.25">
      <c r="A180" s="78"/>
      <c r="B180" s="132"/>
      <c r="C180" s="792"/>
      <c r="D180" s="552">
        <v>45413</v>
      </c>
      <c r="E180" s="365" t="s">
        <v>50</v>
      </c>
      <c r="F180" s="583"/>
      <c r="G180" s="426"/>
      <c r="H180" s="457"/>
      <c r="I180" s="468" t="s">
        <v>539</v>
      </c>
      <c r="J180" s="336" t="s">
        <v>438</v>
      </c>
      <c r="K180" s="513">
        <v>1</v>
      </c>
      <c r="L180" s="458"/>
      <c r="M180" s="137">
        <f t="shared" si="42"/>
        <v>1</v>
      </c>
      <c r="N180" s="130"/>
      <c r="O180" s="584"/>
      <c r="P180" s="137">
        <f t="shared" si="43"/>
        <v>1</v>
      </c>
    </row>
    <row r="181" spans="1:16" s="9" customFormat="1" ht="26.4" x14ac:dyDescent="0.25">
      <c r="A181" s="78"/>
      <c r="B181" s="132"/>
      <c r="C181" s="471" t="s">
        <v>542</v>
      </c>
      <c r="D181" s="552">
        <v>45413</v>
      </c>
      <c r="E181" s="365" t="s">
        <v>50</v>
      </c>
      <c r="F181" s="583"/>
      <c r="G181" s="426"/>
      <c r="H181" s="457"/>
      <c r="I181" s="468" t="s">
        <v>540</v>
      </c>
      <c r="J181" s="336" t="s">
        <v>541</v>
      </c>
      <c r="K181" s="513">
        <v>1</v>
      </c>
      <c r="L181" s="458"/>
      <c r="M181" s="137">
        <f t="shared" si="42"/>
        <v>1</v>
      </c>
      <c r="N181" s="130"/>
      <c r="O181" s="584"/>
      <c r="P181" s="137">
        <f t="shared" si="43"/>
        <v>1</v>
      </c>
    </row>
    <row r="182" spans="1:16" s="9" customFormat="1" ht="26.4" x14ac:dyDescent="0.25">
      <c r="A182" s="78"/>
      <c r="B182" s="132"/>
      <c r="C182" s="549" t="s">
        <v>566</v>
      </c>
      <c r="D182" s="552">
        <v>45422</v>
      </c>
      <c r="E182" s="365" t="s">
        <v>50</v>
      </c>
      <c r="F182" s="583"/>
      <c r="G182" s="426"/>
      <c r="H182" s="457"/>
      <c r="I182" s="468" t="s">
        <v>565</v>
      </c>
      <c r="J182" s="336" t="s">
        <v>534</v>
      </c>
      <c r="K182" s="513">
        <v>1</v>
      </c>
      <c r="L182" s="458"/>
      <c r="M182" s="137">
        <f t="shared" si="42"/>
        <v>1</v>
      </c>
      <c r="N182" s="130"/>
      <c r="O182" s="584"/>
      <c r="P182" s="137">
        <f t="shared" si="43"/>
        <v>1</v>
      </c>
    </row>
    <row r="183" spans="1:16" s="9" customFormat="1" ht="26.4" x14ac:dyDescent="0.25">
      <c r="A183" s="78"/>
      <c r="B183" s="132"/>
      <c r="C183" s="790" t="s">
        <v>547</v>
      </c>
      <c r="D183" s="552">
        <v>45361</v>
      </c>
      <c r="E183" s="365" t="s">
        <v>50</v>
      </c>
      <c r="F183" s="583"/>
      <c r="G183" s="426"/>
      <c r="H183" s="457"/>
      <c r="I183" s="468" t="s">
        <v>543</v>
      </c>
      <c r="J183" s="336" t="s">
        <v>544</v>
      </c>
      <c r="K183" s="513">
        <v>4</v>
      </c>
      <c r="L183" s="458"/>
      <c r="M183" s="137">
        <f t="shared" si="42"/>
        <v>4</v>
      </c>
      <c r="N183" s="130"/>
      <c r="O183" s="584"/>
      <c r="P183" s="137">
        <f t="shared" si="43"/>
        <v>4</v>
      </c>
    </row>
    <row r="184" spans="1:16" s="9" customFormat="1" ht="26.4" x14ac:dyDescent="0.25">
      <c r="A184" s="78"/>
      <c r="B184" s="132"/>
      <c r="C184" s="792"/>
      <c r="D184" s="552">
        <v>45361</v>
      </c>
      <c r="E184" s="365" t="s">
        <v>50</v>
      </c>
      <c r="F184" s="583"/>
      <c r="G184" s="426"/>
      <c r="H184" s="457"/>
      <c r="I184" s="468" t="s">
        <v>545</v>
      </c>
      <c r="J184" s="336" t="s">
        <v>546</v>
      </c>
      <c r="K184" s="513">
        <v>3</v>
      </c>
      <c r="L184" s="458"/>
      <c r="M184" s="137">
        <f t="shared" si="42"/>
        <v>3</v>
      </c>
      <c r="N184" s="130"/>
      <c r="O184" s="584"/>
      <c r="P184" s="137">
        <f t="shared" si="43"/>
        <v>3</v>
      </c>
    </row>
    <row r="185" spans="1:16" s="9" customFormat="1" ht="26.4" x14ac:dyDescent="0.25">
      <c r="A185" s="78"/>
      <c r="B185" s="132"/>
      <c r="C185" s="549" t="s">
        <v>548</v>
      </c>
      <c r="D185" s="552">
        <v>44967</v>
      </c>
      <c r="E185" s="365" t="s">
        <v>50</v>
      </c>
      <c r="F185" s="583"/>
      <c r="G185" s="426"/>
      <c r="H185" s="457"/>
      <c r="I185" s="468" t="s">
        <v>549</v>
      </c>
      <c r="J185" s="336" t="s">
        <v>550</v>
      </c>
      <c r="K185" s="513">
        <v>3</v>
      </c>
      <c r="L185" s="458"/>
      <c r="M185" s="137">
        <f t="shared" si="42"/>
        <v>3</v>
      </c>
      <c r="N185" s="130"/>
      <c r="O185" s="584"/>
      <c r="P185" s="137">
        <f t="shared" si="43"/>
        <v>3</v>
      </c>
    </row>
    <row r="186" spans="1:16" s="9" customFormat="1" ht="27" customHeight="1" x14ac:dyDescent="0.25">
      <c r="A186" s="78"/>
      <c r="B186" s="132"/>
      <c r="C186" s="549" t="s">
        <v>553</v>
      </c>
      <c r="D186" s="552">
        <v>44967</v>
      </c>
      <c r="E186" s="365" t="s">
        <v>50</v>
      </c>
      <c r="F186" s="583"/>
      <c r="G186" s="426"/>
      <c r="H186" s="457"/>
      <c r="I186" s="468" t="s">
        <v>551</v>
      </c>
      <c r="J186" s="336" t="s">
        <v>552</v>
      </c>
      <c r="K186" s="513">
        <v>2</v>
      </c>
      <c r="L186" s="458"/>
      <c r="M186" s="137">
        <f t="shared" si="42"/>
        <v>2</v>
      </c>
      <c r="N186" s="130"/>
      <c r="O186" s="584"/>
      <c r="P186" s="137">
        <f t="shared" si="43"/>
        <v>2</v>
      </c>
    </row>
    <row r="187" spans="1:16" s="9" customFormat="1" ht="30.75" customHeight="1" x14ac:dyDescent="0.25">
      <c r="A187" s="78"/>
      <c r="B187" s="132"/>
      <c r="C187" s="549" t="s">
        <v>596</v>
      </c>
      <c r="D187" s="552">
        <v>45383</v>
      </c>
      <c r="E187" s="365" t="s">
        <v>50</v>
      </c>
      <c r="F187" s="583"/>
      <c r="G187" s="426">
        <v>45261</v>
      </c>
      <c r="H187" s="457"/>
      <c r="I187" s="468" t="s">
        <v>595</v>
      </c>
      <c r="J187" s="336" t="s">
        <v>290</v>
      </c>
      <c r="K187" s="513">
        <v>8</v>
      </c>
      <c r="L187" s="458"/>
      <c r="M187" s="137">
        <f t="shared" si="42"/>
        <v>8</v>
      </c>
      <c r="N187" s="130"/>
      <c r="O187" s="584"/>
      <c r="P187" s="137">
        <f t="shared" si="43"/>
        <v>8</v>
      </c>
    </row>
    <row r="188" spans="1:16" s="9" customFormat="1" ht="27" customHeight="1" x14ac:dyDescent="0.25">
      <c r="A188" s="78"/>
      <c r="B188" s="132"/>
      <c r="C188" s="471" t="s">
        <v>647</v>
      </c>
      <c r="D188" s="552">
        <v>45017</v>
      </c>
      <c r="E188" s="365" t="s">
        <v>50</v>
      </c>
      <c r="F188" s="583"/>
      <c r="G188" s="426">
        <v>45267</v>
      </c>
      <c r="H188" s="457"/>
      <c r="I188" s="468" t="s">
        <v>645</v>
      </c>
      <c r="J188" s="336" t="s">
        <v>646</v>
      </c>
      <c r="K188" s="513">
        <v>2</v>
      </c>
      <c r="L188" s="458"/>
      <c r="M188" s="137">
        <f t="shared" si="42"/>
        <v>2</v>
      </c>
      <c r="N188" s="130"/>
      <c r="O188" s="584"/>
      <c r="P188" s="137">
        <f t="shared" si="43"/>
        <v>2</v>
      </c>
    </row>
    <row r="189" spans="1:16" s="9" customFormat="1" ht="27" customHeight="1" x14ac:dyDescent="0.25">
      <c r="A189" s="78"/>
      <c r="B189" s="132"/>
      <c r="C189" s="471" t="s">
        <v>732</v>
      </c>
      <c r="D189" s="552">
        <v>45495</v>
      </c>
      <c r="E189" s="365" t="s">
        <v>50</v>
      </c>
      <c r="F189" s="583"/>
      <c r="G189" s="426">
        <v>45316</v>
      </c>
      <c r="H189" s="457"/>
      <c r="I189" s="468" t="s">
        <v>727</v>
      </c>
      <c r="J189" s="336" t="s">
        <v>728</v>
      </c>
      <c r="K189" s="513">
        <v>1</v>
      </c>
      <c r="L189" s="458"/>
      <c r="M189" s="137">
        <f t="shared" si="42"/>
        <v>1</v>
      </c>
      <c r="N189" s="130"/>
      <c r="O189" s="584"/>
      <c r="P189" s="137">
        <f t="shared" si="43"/>
        <v>1</v>
      </c>
    </row>
    <row r="190" spans="1:16" s="9" customFormat="1" ht="27" customHeight="1" x14ac:dyDescent="0.25">
      <c r="A190" s="78"/>
      <c r="B190" s="132"/>
      <c r="C190" s="471" t="s">
        <v>733</v>
      </c>
      <c r="D190" s="552">
        <v>45495</v>
      </c>
      <c r="E190" s="365" t="s">
        <v>50</v>
      </c>
      <c r="F190" s="583"/>
      <c r="G190" s="426">
        <v>45316</v>
      </c>
      <c r="H190" s="457"/>
      <c r="I190" s="468" t="s">
        <v>729</v>
      </c>
      <c r="J190" s="336" t="s">
        <v>728</v>
      </c>
      <c r="K190" s="513">
        <v>1</v>
      </c>
      <c r="L190" s="458"/>
      <c r="M190" s="137">
        <f t="shared" si="42"/>
        <v>1</v>
      </c>
      <c r="N190" s="130"/>
      <c r="O190" s="584"/>
      <c r="P190" s="137">
        <f t="shared" si="43"/>
        <v>1</v>
      </c>
    </row>
    <row r="191" spans="1:16" s="9" customFormat="1" ht="27" customHeight="1" x14ac:dyDescent="0.25">
      <c r="A191" s="78"/>
      <c r="B191" s="132"/>
      <c r="C191" s="471" t="s">
        <v>734</v>
      </c>
      <c r="D191" s="552">
        <v>45373</v>
      </c>
      <c r="E191" s="365" t="s">
        <v>50</v>
      </c>
      <c r="F191" s="583"/>
      <c r="G191" s="426">
        <v>45316</v>
      </c>
      <c r="H191" s="457"/>
      <c r="I191" s="468" t="s">
        <v>730</v>
      </c>
      <c r="J191" s="336" t="s">
        <v>731</v>
      </c>
      <c r="K191" s="513">
        <v>3</v>
      </c>
      <c r="L191" s="458"/>
      <c r="M191" s="137">
        <f t="shared" si="42"/>
        <v>3</v>
      </c>
      <c r="N191" s="130"/>
      <c r="O191" s="584"/>
      <c r="P191" s="137">
        <f t="shared" si="43"/>
        <v>3</v>
      </c>
    </row>
    <row r="192" spans="1:16" s="9" customFormat="1" ht="27" customHeight="1" x14ac:dyDescent="0.25">
      <c r="A192" s="78"/>
      <c r="B192" s="132"/>
      <c r="C192" s="471" t="s">
        <v>782</v>
      </c>
      <c r="D192" s="552">
        <v>45463</v>
      </c>
      <c r="E192" s="365" t="s">
        <v>50</v>
      </c>
      <c r="F192" s="583"/>
      <c r="G192" s="426">
        <v>45334</v>
      </c>
      <c r="H192" s="457"/>
      <c r="I192" s="468" t="s">
        <v>781</v>
      </c>
      <c r="J192" s="336" t="s">
        <v>521</v>
      </c>
      <c r="K192" s="513">
        <v>6</v>
      </c>
      <c r="L192" s="458"/>
      <c r="M192" s="137">
        <f t="shared" ref="M192" si="46">K192</f>
        <v>6</v>
      </c>
      <c r="N192" s="130"/>
      <c r="O192" s="584"/>
      <c r="P192" s="137">
        <f t="shared" ref="P192" si="47">M192-N192</f>
        <v>6</v>
      </c>
    </row>
    <row r="193" spans="1:16" s="9" customFormat="1" ht="27" customHeight="1" x14ac:dyDescent="0.25">
      <c r="A193" s="78"/>
      <c r="B193" s="132"/>
      <c r="C193" s="471" t="s">
        <v>789</v>
      </c>
      <c r="D193" s="552">
        <v>45350</v>
      </c>
      <c r="E193" s="365" t="s">
        <v>50</v>
      </c>
      <c r="F193" s="583"/>
      <c r="G193" s="426">
        <v>45342</v>
      </c>
      <c r="H193" s="457"/>
      <c r="I193" s="468" t="s">
        <v>790</v>
      </c>
      <c r="J193" s="336" t="s">
        <v>133</v>
      </c>
      <c r="K193" s="513">
        <v>4</v>
      </c>
      <c r="L193" s="458"/>
      <c r="M193" s="137">
        <f t="shared" ref="M193" si="48">K193</f>
        <v>4</v>
      </c>
      <c r="N193" s="130"/>
      <c r="O193" s="584"/>
      <c r="P193" s="137">
        <f t="shared" ref="P193" si="49">M193-N193</f>
        <v>4</v>
      </c>
    </row>
    <row r="194" spans="1:16" s="9" customFormat="1" ht="17.25" customHeight="1" x14ac:dyDescent="0.25">
      <c r="A194" s="97"/>
      <c r="B194" s="334" t="s">
        <v>404</v>
      </c>
      <c r="C194" s="642"/>
      <c r="D194" s="98"/>
      <c r="E194" s="99"/>
      <c r="F194" s="100"/>
      <c r="G194" s="101"/>
      <c r="H194" s="102"/>
      <c r="I194" s="103"/>
      <c r="J194" s="105"/>
      <c r="K194" s="106"/>
      <c r="L194" s="53"/>
      <c r="M194" s="54"/>
      <c r="N194" s="55"/>
      <c r="O194" s="53"/>
      <c r="P194" s="54"/>
    </row>
    <row r="195" spans="1:16" s="1" customFormat="1" ht="30" customHeight="1" x14ac:dyDescent="0.25">
      <c r="A195" s="333"/>
      <c r="B195" s="377"/>
      <c r="C195" s="579" t="s">
        <v>134</v>
      </c>
      <c r="D195" s="559">
        <v>45261</v>
      </c>
      <c r="E195" s="560" t="s">
        <v>50</v>
      </c>
      <c r="F195" s="558"/>
      <c r="G195" s="437">
        <v>45187</v>
      </c>
      <c r="H195" s="421"/>
      <c r="I195" s="338" t="s">
        <v>405</v>
      </c>
      <c r="J195" s="335" t="s">
        <v>406</v>
      </c>
      <c r="K195" s="454">
        <v>1</v>
      </c>
      <c r="L195" s="420"/>
      <c r="M195" s="137">
        <f t="shared" ref="M195" si="50">K195</f>
        <v>1</v>
      </c>
      <c r="N195" s="433"/>
      <c r="O195" s="438"/>
      <c r="P195" s="87">
        <f t="shared" ref="P195" si="51">M195-N195</f>
        <v>1</v>
      </c>
    </row>
    <row r="196" spans="1:16" s="9" customFormat="1" ht="16.5" customHeight="1" x14ac:dyDescent="0.25">
      <c r="A196" s="97"/>
      <c r="B196" s="330" t="s">
        <v>662</v>
      </c>
      <c r="C196" s="98"/>
      <c r="D196" s="98"/>
      <c r="E196" s="99"/>
      <c r="F196" s="100"/>
      <c r="G196" s="101"/>
      <c r="H196" s="102"/>
      <c r="I196" s="103"/>
      <c r="J196" s="105"/>
      <c r="K196" s="106"/>
      <c r="L196" s="111"/>
      <c r="M196" s="54"/>
      <c r="N196" s="55"/>
      <c r="O196" s="111"/>
      <c r="P196" s="52"/>
    </row>
    <row r="197" spans="1:16" s="9" customFormat="1" ht="27" customHeight="1" x14ac:dyDescent="0.25">
      <c r="A197" s="89"/>
      <c r="B197" s="379"/>
      <c r="C197" s="793" t="s">
        <v>666</v>
      </c>
      <c r="D197" s="455">
        <v>45455</v>
      </c>
      <c r="E197" s="560" t="s">
        <v>50</v>
      </c>
      <c r="F197" s="517"/>
      <c r="G197" s="83">
        <v>45279</v>
      </c>
      <c r="H197" s="457"/>
      <c r="I197" s="338" t="s">
        <v>663</v>
      </c>
      <c r="J197" s="335" t="s">
        <v>237</v>
      </c>
      <c r="K197" s="454">
        <v>8</v>
      </c>
      <c r="L197" s="458"/>
      <c r="M197" s="69">
        <f>K197</f>
        <v>8</v>
      </c>
      <c r="N197" s="363"/>
      <c r="O197" s="142"/>
      <c r="P197" s="87">
        <f t="shared" ref="P197:P198" si="52">M197-N197</f>
        <v>8</v>
      </c>
    </row>
    <row r="198" spans="1:16" s="9" customFormat="1" ht="27" customHeight="1" x14ac:dyDescent="0.25">
      <c r="A198" s="89"/>
      <c r="B198" s="379"/>
      <c r="C198" s="789"/>
      <c r="D198" s="455">
        <v>45455</v>
      </c>
      <c r="E198" s="428" t="s">
        <v>50</v>
      </c>
      <c r="F198" s="517"/>
      <c r="G198" s="83">
        <v>45279</v>
      </c>
      <c r="H198" s="457"/>
      <c r="I198" s="338" t="s">
        <v>664</v>
      </c>
      <c r="J198" s="335" t="s">
        <v>665</v>
      </c>
      <c r="K198" s="454">
        <v>8</v>
      </c>
      <c r="L198" s="458"/>
      <c r="M198" s="137">
        <f>K198</f>
        <v>8</v>
      </c>
      <c r="N198" s="363"/>
      <c r="O198" s="142"/>
      <c r="P198" s="87">
        <f t="shared" si="52"/>
        <v>8</v>
      </c>
    </row>
    <row r="199" spans="1:16" s="40" customFormat="1" ht="23.25" customHeight="1" x14ac:dyDescent="0.3">
      <c r="A199" s="339" t="s">
        <v>52</v>
      </c>
      <c r="B199" s="36"/>
      <c r="C199" s="638"/>
      <c r="D199" s="38"/>
      <c r="E199" s="38"/>
      <c r="F199" s="39"/>
      <c r="G199" s="39"/>
      <c r="H199" s="155"/>
      <c r="I199" s="203"/>
      <c r="J199" s="156"/>
      <c r="K199" s="157"/>
      <c r="L199" s="155"/>
      <c r="M199" s="158"/>
      <c r="N199" s="158"/>
      <c r="O199" s="155"/>
      <c r="P199" s="158"/>
    </row>
    <row r="200" spans="1:16" s="9" customFormat="1" ht="16.5" customHeight="1" x14ac:dyDescent="0.25">
      <c r="A200" s="97"/>
      <c r="B200" s="330" t="s">
        <v>61</v>
      </c>
      <c r="C200" s="642"/>
      <c r="D200" s="98"/>
      <c r="E200" s="98"/>
      <c r="F200" s="574">
        <f>SUM(F201:F202)</f>
        <v>348668.51</v>
      </c>
      <c r="G200" s="98"/>
      <c r="H200" s="102"/>
      <c r="I200" s="103"/>
      <c r="J200" s="105"/>
      <c r="K200" s="106"/>
      <c r="L200" s="53"/>
      <c r="M200" s="54"/>
      <c r="N200" s="55"/>
      <c r="O200" s="53"/>
      <c r="P200" s="54"/>
    </row>
    <row r="201" spans="1:16" s="1" customFormat="1" ht="39" customHeight="1" x14ac:dyDescent="0.25">
      <c r="A201" s="333"/>
      <c r="B201" s="377"/>
      <c r="C201" s="507" t="s">
        <v>128</v>
      </c>
      <c r="D201" s="350">
        <v>44280</v>
      </c>
      <c r="E201" s="341" t="s">
        <v>50</v>
      </c>
      <c r="F201" s="573">
        <v>348668.51</v>
      </c>
      <c r="G201" s="331">
        <v>44258</v>
      </c>
      <c r="H201" s="328"/>
      <c r="I201" s="468" t="s">
        <v>81</v>
      </c>
      <c r="J201" s="482" t="s">
        <v>80</v>
      </c>
      <c r="K201" s="378">
        <v>2</v>
      </c>
      <c r="L201" s="329"/>
      <c r="M201" s="69">
        <f>K201</f>
        <v>2</v>
      </c>
      <c r="N201" s="363"/>
      <c r="O201" s="142"/>
      <c r="P201" s="87">
        <f t="shared" ref="P201:P204" si="53">M201-N201</f>
        <v>2</v>
      </c>
    </row>
    <row r="202" spans="1:16" s="1" customFormat="1" ht="23.25" customHeight="1" x14ac:dyDescent="0.25">
      <c r="A202" s="333"/>
      <c r="B202" s="377"/>
      <c r="C202" s="343" t="s">
        <v>418</v>
      </c>
      <c r="D202" s="350">
        <v>45280</v>
      </c>
      <c r="E202" s="341" t="s">
        <v>50</v>
      </c>
      <c r="F202" s="580" t="s">
        <v>505</v>
      </c>
      <c r="G202" s="331">
        <v>45238</v>
      </c>
      <c r="H202" s="328"/>
      <c r="I202" s="468" t="s">
        <v>84</v>
      </c>
      <c r="J202" s="335" t="s">
        <v>527</v>
      </c>
      <c r="K202" s="378">
        <v>20</v>
      </c>
      <c r="L202" s="329"/>
      <c r="M202" s="87">
        <f t="shared" ref="M202:M204" si="54">K202</f>
        <v>20</v>
      </c>
      <c r="N202" s="449">
        <v>20</v>
      </c>
      <c r="O202" s="142"/>
      <c r="P202" s="137">
        <f t="shared" si="53"/>
        <v>0</v>
      </c>
    </row>
    <row r="203" spans="1:16" s="1" customFormat="1" ht="23.25" customHeight="1" x14ac:dyDescent="0.25">
      <c r="A203" s="333"/>
      <c r="B203" s="377"/>
      <c r="C203" s="522" t="s">
        <v>817</v>
      </c>
      <c r="D203" s="351" t="s">
        <v>816</v>
      </c>
      <c r="E203" s="341" t="s">
        <v>50</v>
      </c>
      <c r="F203" s="580"/>
      <c r="G203" s="354">
        <v>45352</v>
      </c>
      <c r="H203" s="328"/>
      <c r="I203" s="468" t="s">
        <v>814</v>
      </c>
      <c r="J203" s="335" t="s">
        <v>815</v>
      </c>
      <c r="K203" s="378">
        <v>20</v>
      </c>
      <c r="L203" s="329"/>
      <c r="M203" s="87">
        <f t="shared" si="54"/>
        <v>20</v>
      </c>
      <c r="N203" s="449"/>
      <c r="O203" s="142"/>
      <c r="P203" s="137">
        <f t="shared" si="53"/>
        <v>20</v>
      </c>
    </row>
    <row r="204" spans="1:16" s="1" customFormat="1" ht="23.25" customHeight="1" x14ac:dyDescent="0.25">
      <c r="A204" s="333"/>
      <c r="B204" s="377"/>
      <c r="C204" s="522" t="s">
        <v>718</v>
      </c>
      <c r="D204" s="351">
        <v>45332</v>
      </c>
      <c r="E204" s="341" t="s">
        <v>50</v>
      </c>
      <c r="F204" s="580"/>
      <c r="G204" s="354">
        <v>45306</v>
      </c>
      <c r="H204" s="328"/>
      <c r="I204" s="468" t="s">
        <v>719</v>
      </c>
      <c r="J204" s="335" t="s">
        <v>411</v>
      </c>
      <c r="K204" s="443">
        <v>1</v>
      </c>
      <c r="L204" s="329"/>
      <c r="M204" s="87">
        <f t="shared" si="54"/>
        <v>1</v>
      </c>
      <c r="N204" s="449">
        <v>1</v>
      </c>
      <c r="O204" s="142"/>
      <c r="P204" s="137">
        <f t="shared" si="53"/>
        <v>0</v>
      </c>
    </row>
    <row r="205" spans="1:16" s="9" customFormat="1" ht="17.25" customHeight="1" x14ac:dyDescent="0.25">
      <c r="A205" s="97"/>
      <c r="B205" s="369" t="s">
        <v>674</v>
      </c>
      <c r="C205" s="642"/>
      <c r="D205" s="98"/>
      <c r="E205" s="99"/>
      <c r="F205" s="100"/>
      <c r="G205" s="101"/>
      <c r="H205" s="102"/>
      <c r="I205" s="103"/>
      <c r="J205" s="105"/>
      <c r="K205" s="106"/>
      <c r="L205" s="53"/>
      <c r="M205" s="54"/>
      <c r="N205" s="55"/>
      <c r="O205" s="53"/>
      <c r="P205" s="54"/>
    </row>
    <row r="206" spans="1:16" s="9" customFormat="1" ht="27" customHeight="1" x14ac:dyDescent="0.25">
      <c r="A206" s="78"/>
      <c r="B206" s="132"/>
      <c r="C206" s="490" t="s">
        <v>683</v>
      </c>
      <c r="D206" s="622">
        <v>45289</v>
      </c>
      <c r="E206" s="623" t="s">
        <v>50</v>
      </c>
      <c r="F206" s="624"/>
      <c r="G206" s="426">
        <v>45286</v>
      </c>
      <c r="H206" s="457"/>
      <c r="I206" s="338" t="s">
        <v>678</v>
      </c>
      <c r="J206" s="335" t="s">
        <v>679</v>
      </c>
      <c r="K206" s="454">
        <v>1</v>
      </c>
      <c r="L206" s="458"/>
      <c r="M206" s="87">
        <f t="shared" ref="M206" si="55">K206</f>
        <v>1</v>
      </c>
      <c r="N206" s="363"/>
      <c r="O206" s="142"/>
      <c r="P206" s="87">
        <f t="shared" ref="P206" si="56">M206-N206</f>
        <v>1</v>
      </c>
    </row>
    <row r="207" spans="1:16" s="9" customFormat="1" ht="15.75" customHeight="1" x14ac:dyDescent="0.25">
      <c r="A207" s="97"/>
      <c r="B207" s="369" t="s">
        <v>467</v>
      </c>
      <c r="C207" s="642"/>
      <c r="D207" s="98"/>
      <c r="E207" s="99"/>
      <c r="F207" s="100"/>
      <c r="G207" s="101"/>
      <c r="H207" s="102"/>
      <c r="I207" s="103"/>
      <c r="J207" s="105"/>
      <c r="K207" s="106"/>
      <c r="L207" s="53"/>
      <c r="M207" s="54"/>
      <c r="N207" s="55"/>
      <c r="O207" s="53"/>
      <c r="P207" s="54"/>
    </row>
    <row r="208" spans="1:16" s="9" customFormat="1" ht="27" customHeight="1" x14ac:dyDescent="0.25">
      <c r="A208" s="78"/>
      <c r="B208" s="140"/>
      <c r="C208" s="511" t="s">
        <v>391</v>
      </c>
      <c r="D208" s="350">
        <v>45197</v>
      </c>
      <c r="E208" s="341" t="s">
        <v>60</v>
      </c>
      <c r="F208" s="380"/>
      <c r="G208" s="331">
        <v>45166</v>
      </c>
      <c r="H208" s="141"/>
      <c r="I208" s="338" t="s">
        <v>388</v>
      </c>
      <c r="J208" s="336" t="s">
        <v>385</v>
      </c>
      <c r="K208" s="470">
        <v>2</v>
      </c>
      <c r="L208" s="142"/>
      <c r="M208" s="137">
        <f>K208</f>
        <v>2</v>
      </c>
      <c r="N208" s="164"/>
      <c r="O208" s="438"/>
      <c r="P208" s="137">
        <f t="shared" ref="P208:P209" si="57">M208-N208</f>
        <v>2</v>
      </c>
    </row>
    <row r="209" spans="1:16" s="9" customFormat="1" ht="27" customHeight="1" x14ac:dyDescent="0.25">
      <c r="A209" s="78"/>
      <c r="B209" s="140"/>
      <c r="C209" s="511" t="s">
        <v>392</v>
      </c>
      <c r="D209" s="350">
        <v>45197</v>
      </c>
      <c r="E209" s="341" t="s">
        <v>60</v>
      </c>
      <c r="F209" s="380"/>
      <c r="G209" s="331">
        <v>45166</v>
      </c>
      <c r="H209" s="141"/>
      <c r="I209" s="338" t="s">
        <v>389</v>
      </c>
      <c r="J209" s="336" t="s">
        <v>386</v>
      </c>
      <c r="K209" s="470">
        <v>2</v>
      </c>
      <c r="L209" s="142"/>
      <c r="M209" s="137">
        <f t="shared" ref="M209" si="58">K209</f>
        <v>2</v>
      </c>
      <c r="N209" s="164"/>
      <c r="O209" s="438"/>
      <c r="P209" s="137">
        <f t="shared" si="57"/>
        <v>2</v>
      </c>
    </row>
    <row r="210" spans="1:16" s="9" customFormat="1" ht="15.75" customHeight="1" x14ac:dyDescent="0.25">
      <c r="A210" s="97"/>
      <c r="B210" s="330" t="s">
        <v>94</v>
      </c>
      <c r="C210" s="642"/>
      <c r="D210" s="98"/>
      <c r="E210" s="99"/>
      <c r="F210" s="100"/>
      <c r="G210" s="101"/>
      <c r="H210" s="102"/>
      <c r="I210" s="103"/>
      <c r="J210" s="105"/>
      <c r="K210" s="106"/>
      <c r="L210" s="53"/>
      <c r="M210" s="54"/>
      <c r="N210" s="55"/>
      <c r="O210" s="53"/>
      <c r="P210" s="54"/>
    </row>
    <row r="211" spans="1:16" s="9" customFormat="1" ht="42" customHeight="1" x14ac:dyDescent="0.25">
      <c r="A211" s="78"/>
      <c r="B211" s="140"/>
      <c r="C211" s="547" t="s">
        <v>418</v>
      </c>
      <c r="D211" s="350">
        <v>45260</v>
      </c>
      <c r="E211" s="341" t="s">
        <v>50</v>
      </c>
      <c r="F211" s="380"/>
      <c r="G211" s="331">
        <v>45190</v>
      </c>
      <c r="H211" s="141"/>
      <c r="I211" s="338" t="s">
        <v>422</v>
      </c>
      <c r="J211" s="335" t="s">
        <v>423</v>
      </c>
      <c r="K211" s="86">
        <v>1</v>
      </c>
      <c r="L211" s="142"/>
      <c r="M211" s="367">
        <v>1</v>
      </c>
      <c r="N211" s="88"/>
      <c r="O211" s="142"/>
      <c r="P211" s="87">
        <f t="shared" ref="P211" si="59">K211-N211</f>
        <v>1</v>
      </c>
    </row>
    <row r="212" spans="1:16" s="9" customFormat="1" ht="21" customHeight="1" x14ac:dyDescent="0.25">
      <c r="A212" s="97"/>
      <c r="B212" s="330" t="s">
        <v>66</v>
      </c>
      <c r="C212" s="642"/>
      <c r="D212" s="98"/>
      <c r="E212" s="98"/>
      <c r="F212" s="575">
        <f>F213</f>
        <v>34982.519999999997</v>
      </c>
      <c r="G212" s="101"/>
      <c r="H212" s="102"/>
      <c r="I212" s="103"/>
      <c r="J212" s="105"/>
      <c r="K212" s="106"/>
      <c r="L212" s="53"/>
      <c r="M212" s="112"/>
      <c r="N212" s="113"/>
      <c r="O212" s="53"/>
      <c r="P212" s="52"/>
    </row>
    <row r="213" spans="1:16" s="9" customFormat="1" ht="27" customHeight="1" x14ac:dyDescent="0.25">
      <c r="A213" s="78"/>
      <c r="B213" s="140"/>
      <c r="C213" s="547"/>
      <c r="D213" s="350"/>
      <c r="E213" s="341" t="s">
        <v>60</v>
      </c>
      <c r="F213" s="564">
        <v>34982.519999999997</v>
      </c>
      <c r="G213" s="331">
        <v>44665</v>
      </c>
      <c r="H213" s="141"/>
      <c r="I213" s="338" t="s">
        <v>105</v>
      </c>
      <c r="J213" s="482" t="s">
        <v>106</v>
      </c>
      <c r="K213" s="86">
        <v>1</v>
      </c>
      <c r="L213" s="142"/>
      <c r="M213" s="367">
        <v>1</v>
      </c>
      <c r="N213" s="88"/>
      <c r="O213" s="142"/>
      <c r="P213" s="87">
        <f t="shared" ref="P213" si="60">K213-N213</f>
        <v>1</v>
      </c>
    </row>
    <row r="214" spans="1:16" s="9" customFormat="1" ht="16.5" customHeight="1" x14ac:dyDescent="0.25">
      <c r="A214" s="97"/>
      <c r="B214" s="369" t="s">
        <v>45</v>
      </c>
      <c r="C214" s="642"/>
      <c r="D214" s="98"/>
      <c r="E214" s="99"/>
      <c r="F214" s="100"/>
      <c r="G214" s="101"/>
      <c r="H214" s="102"/>
      <c r="I214" s="103"/>
      <c r="J214" s="105"/>
      <c r="K214" s="106"/>
      <c r="L214" s="53"/>
      <c r="M214" s="71"/>
      <c r="N214" s="55"/>
      <c r="O214" s="53"/>
      <c r="P214" s="54"/>
    </row>
    <row r="215" spans="1:16" s="9" customFormat="1" ht="41.25" customHeight="1" x14ac:dyDescent="0.25">
      <c r="A215" s="375"/>
      <c r="B215" s="208"/>
      <c r="C215" s="548" t="s">
        <v>528</v>
      </c>
      <c r="D215" s="350"/>
      <c r="E215" s="337" t="s">
        <v>273</v>
      </c>
      <c r="F215" s="364"/>
      <c r="G215" s="390"/>
      <c r="H215" s="439"/>
      <c r="I215" s="338" t="s">
        <v>459</v>
      </c>
      <c r="J215" s="336" t="s">
        <v>458</v>
      </c>
      <c r="K215" s="406">
        <v>1</v>
      </c>
      <c r="L215" s="161"/>
      <c r="M215" s="137">
        <v>1</v>
      </c>
      <c r="N215" s="164"/>
      <c r="O215" s="438"/>
      <c r="P215" s="137">
        <f t="shared" ref="P215" si="61">M215-N215</f>
        <v>1</v>
      </c>
    </row>
    <row r="216" spans="1:16" s="9" customFormat="1" ht="20.25" customHeight="1" x14ac:dyDescent="0.25">
      <c r="A216" s="97"/>
      <c r="B216" s="462"/>
      <c r="C216" s="642"/>
      <c r="D216" s="98"/>
      <c r="E216" s="99"/>
      <c r="F216" s="575">
        <f>SUM(F223:F224)</f>
        <v>0</v>
      </c>
      <c r="G216" s="101"/>
      <c r="H216" s="463"/>
      <c r="I216" s="103"/>
      <c r="J216" s="105"/>
      <c r="K216" s="106"/>
      <c r="L216" s="464"/>
      <c r="M216" s="71"/>
      <c r="N216" s="55"/>
      <c r="O216" s="464"/>
      <c r="P216" s="465"/>
    </row>
    <row r="217" spans="1:16" s="9" customFormat="1" ht="16.5" customHeight="1" x14ac:dyDescent="0.25">
      <c r="A217" s="97"/>
      <c r="B217" s="334" t="s">
        <v>63</v>
      </c>
      <c r="C217" s="642"/>
      <c r="D217" s="98"/>
      <c r="E217" s="99"/>
      <c r="F217" s="575">
        <f>SUM(F218:F220)</f>
        <v>3505093.96</v>
      </c>
      <c r="G217" s="101"/>
      <c r="H217" s="102"/>
      <c r="I217" s="819" t="s">
        <v>770</v>
      </c>
      <c r="J217" s="820"/>
      <c r="K217" s="821"/>
      <c r="L217" s="53"/>
      <c r="M217" s="417"/>
      <c r="N217" s="418"/>
      <c r="O217" s="53"/>
      <c r="P217" s="54"/>
    </row>
    <row r="218" spans="1:16" s="9" customFormat="1" ht="27.75" customHeight="1" x14ac:dyDescent="0.25">
      <c r="A218" s="78"/>
      <c r="B218" s="79"/>
      <c r="C218" s="466"/>
      <c r="D218" s="426">
        <v>44620</v>
      </c>
      <c r="E218" s="341" t="s">
        <v>120</v>
      </c>
      <c r="F218" s="567">
        <v>1339143.51</v>
      </c>
      <c r="G218" s="94">
        <v>44902</v>
      </c>
      <c r="H218" s="429"/>
      <c r="I218" s="468" t="s">
        <v>140</v>
      </c>
      <c r="J218" s="336" t="s">
        <v>127</v>
      </c>
      <c r="K218" s="453">
        <v>1</v>
      </c>
      <c r="L218" s="430"/>
      <c r="M218" s="87">
        <f t="shared" ref="M218:M219" si="62">K218</f>
        <v>1</v>
      </c>
      <c r="N218" s="485"/>
      <c r="O218" s="430"/>
      <c r="P218" s="87">
        <f t="shared" ref="P218:P220" si="63">K218-N218</f>
        <v>1</v>
      </c>
    </row>
    <row r="219" spans="1:16" s="9" customFormat="1" ht="27.75" customHeight="1" x14ac:dyDescent="0.25">
      <c r="A219" s="78"/>
      <c r="B219" s="79"/>
      <c r="C219" s="466"/>
      <c r="D219" s="426">
        <v>45229</v>
      </c>
      <c r="E219" s="341" t="s">
        <v>120</v>
      </c>
      <c r="F219" s="567">
        <v>134345.17000000001</v>
      </c>
      <c r="G219" s="94">
        <v>45175</v>
      </c>
      <c r="H219" s="429"/>
      <c r="I219" s="468" t="s">
        <v>413</v>
      </c>
      <c r="J219" s="481" t="s">
        <v>412</v>
      </c>
      <c r="K219" s="453">
        <v>1</v>
      </c>
      <c r="L219" s="430"/>
      <c r="M219" s="87">
        <f t="shared" si="62"/>
        <v>1</v>
      </c>
      <c r="N219" s="485"/>
      <c r="O219" s="430"/>
      <c r="P219" s="87">
        <f t="shared" si="63"/>
        <v>1</v>
      </c>
    </row>
    <row r="220" spans="1:16" s="9" customFormat="1" ht="34.5" customHeight="1" x14ac:dyDescent="0.25">
      <c r="A220" s="78"/>
      <c r="B220" s="79"/>
      <c r="C220" s="511" t="s">
        <v>136</v>
      </c>
      <c r="D220" s="426">
        <v>44591</v>
      </c>
      <c r="E220" s="341" t="s">
        <v>120</v>
      </c>
      <c r="F220" s="567">
        <v>2031605.28</v>
      </c>
      <c r="G220" s="94">
        <v>44889</v>
      </c>
      <c r="H220" s="429"/>
      <c r="I220" s="468" t="s">
        <v>137</v>
      </c>
      <c r="J220" s="336" t="s">
        <v>135</v>
      </c>
      <c r="K220" s="453">
        <v>2</v>
      </c>
      <c r="L220" s="430"/>
      <c r="M220" s="87">
        <v>1</v>
      </c>
      <c r="N220" s="485"/>
      <c r="O220" s="430"/>
      <c r="P220" s="87">
        <f t="shared" si="63"/>
        <v>2</v>
      </c>
    </row>
    <row r="221" spans="1:16" s="9" customFormat="1" ht="16.5" customHeight="1" x14ac:dyDescent="0.25">
      <c r="A221" s="97"/>
      <c r="B221" s="334" t="s">
        <v>496</v>
      </c>
      <c r="C221" s="642"/>
      <c r="D221" s="98"/>
      <c r="E221" s="99"/>
      <c r="F221" s="100"/>
      <c r="G221" s="101"/>
      <c r="H221" s="102"/>
      <c r="I221" s="103"/>
      <c r="J221" s="105"/>
      <c r="K221" s="106"/>
      <c r="L221" s="53"/>
      <c r="M221" s="49"/>
      <c r="N221" s="55"/>
      <c r="O221" s="53"/>
      <c r="P221" s="54"/>
    </row>
    <row r="222" spans="1:16" s="9" customFormat="1" ht="16.5" customHeight="1" x14ac:dyDescent="0.25">
      <c r="A222" s="97"/>
      <c r="B222" s="369" t="s">
        <v>775</v>
      </c>
      <c r="C222" s="642"/>
      <c r="D222" s="98"/>
      <c r="E222" s="99"/>
      <c r="F222" s="100"/>
      <c r="G222" s="101"/>
      <c r="H222" s="102"/>
      <c r="I222" s="103"/>
      <c r="J222" s="105"/>
      <c r="K222" s="106"/>
      <c r="L222" s="53"/>
      <c r="M222" s="49"/>
      <c r="N222" s="55"/>
      <c r="O222" s="53"/>
      <c r="P222" s="54"/>
    </row>
    <row r="223" spans="1:16" s="9" customFormat="1" ht="24.75" customHeight="1" x14ac:dyDescent="0.25">
      <c r="A223" s="375"/>
      <c r="B223" s="208"/>
      <c r="C223" s="799" t="s">
        <v>602</v>
      </c>
      <c r="D223" s="80">
        <v>45342</v>
      </c>
      <c r="E223" s="337" t="s">
        <v>103</v>
      </c>
      <c r="F223" s="599" t="s">
        <v>601</v>
      </c>
      <c r="G223" s="390">
        <v>44766</v>
      </c>
      <c r="H223" s="439"/>
      <c r="I223" s="555" t="s">
        <v>104</v>
      </c>
      <c r="J223" s="481" t="s">
        <v>603</v>
      </c>
      <c r="K223" s="406">
        <v>1</v>
      </c>
      <c r="L223" s="161"/>
      <c r="M223" s="137">
        <v>1</v>
      </c>
      <c r="N223" s="164"/>
      <c r="O223" s="438"/>
      <c r="P223" s="137">
        <f t="shared" ref="P223:P228" si="64">M223-N223</f>
        <v>1</v>
      </c>
    </row>
    <row r="224" spans="1:16" s="9" customFormat="1" ht="24.75" customHeight="1" x14ac:dyDescent="0.25">
      <c r="A224" s="375"/>
      <c r="B224" s="208"/>
      <c r="C224" s="788"/>
      <c r="D224" s="350">
        <v>45342</v>
      </c>
      <c r="E224" s="337" t="s">
        <v>60</v>
      </c>
      <c r="F224" s="599" t="s">
        <v>601</v>
      </c>
      <c r="G224" s="390">
        <v>44851</v>
      </c>
      <c r="H224" s="439"/>
      <c r="I224" s="555" t="s">
        <v>87</v>
      </c>
      <c r="J224" s="481" t="s">
        <v>604</v>
      </c>
      <c r="K224" s="406">
        <v>1</v>
      </c>
      <c r="L224" s="161"/>
      <c r="M224" s="137">
        <f>K224</f>
        <v>1</v>
      </c>
      <c r="N224" s="164"/>
      <c r="O224" s="438"/>
      <c r="P224" s="137">
        <f t="shared" si="64"/>
        <v>1</v>
      </c>
    </row>
    <row r="225" spans="1:16" s="9" customFormat="1" ht="24.75" customHeight="1" x14ac:dyDescent="0.25">
      <c r="A225" s="375"/>
      <c r="B225" s="208"/>
      <c r="C225" s="788"/>
      <c r="D225" s="350">
        <v>45342</v>
      </c>
      <c r="E225" s="337" t="s">
        <v>60</v>
      </c>
      <c r="F225" s="564"/>
      <c r="G225" s="390">
        <v>45264</v>
      </c>
      <c r="H225" s="439"/>
      <c r="I225" s="600" t="s">
        <v>610</v>
      </c>
      <c r="J225" s="538" t="s">
        <v>605</v>
      </c>
      <c r="K225" s="406">
        <v>1</v>
      </c>
      <c r="L225" s="161"/>
      <c r="M225" s="137">
        <f t="shared" ref="M225:M228" si="65">K225</f>
        <v>1</v>
      </c>
      <c r="N225" s="164">
        <v>1</v>
      </c>
      <c r="O225" s="438"/>
      <c r="P225" s="137">
        <f t="shared" si="64"/>
        <v>0</v>
      </c>
    </row>
    <row r="226" spans="1:16" s="9" customFormat="1" ht="24.75" customHeight="1" x14ac:dyDescent="0.25">
      <c r="A226" s="375"/>
      <c r="B226" s="208"/>
      <c r="C226" s="788"/>
      <c r="D226" s="350">
        <v>45342</v>
      </c>
      <c r="E226" s="337" t="s">
        <v>60</v>
      </c>
      <c r="F226" s="564"/>
      <c r="G226" s="390">
        <v>45264</v>
      </c>
      <c r="H226" s="439"/>
      <c r="I226" s="600" t="s">
        <v>611</v>
      </c>
      <c r="J226" s="538" t="s">
        <v>606</v>
      </c>
      <c r="K226" s="406">
        <v>1</v>
      </c>
      <c r="L226" s="161"/>
      <c r="M226" s="137">
        <f t="shared" si="65"/>
        <v>1</v>
      </c>
      <c r="N226" s="164">
        <v>1</v>
      </c>
      <c r="O226" s="438"/>
      <c r="P226" s="137">
        <f t="shared" si="64"/>
        <v>0</v>
      </c>
    </row>
    <row r="227" spans="1:16" s="9" customFormat="1" ht="24.75" customHeight="1" x14ac:dyDescent="0.25">
      <c r="A227" s="375"/>
      <c r="B227" s="208"/>
      <c r="C227" s="788"/>
      <c r="D227" s="350">
        <v>45342</v>
      </c>
      <c r="E227" s="337" t="s">
        <v>60</v>
      </c>
      <c r="F227" s="564"/>
      <c r="G227" s="390">
        <v>45264</v>
      </c>
      <c r="H227" s="439"/>
      <c r="I227" s="600" t="s">
        <v>612</v>
      </c>
      <c r="J227" s="538" t="s">
        <v>607</v>
      </c>
      <c r="K227" s="406">
        <v>1</v>
      </c>
      <c r="L227" s="161"/>
      <c r="M227" s="137">
        <f t="shared" si="65"/>
        <v>1</v>
      </c>
      <c r="N227" s="164"/>
      <c r="O227" s="438"/>
      <c r="P227" s="137">
        <f t="shared" si="64"/>
        <v>1</v>
      </c>
    </row>
    <row r="228" spans="1:16" s="9" customFormat="1" ht="24.75" customHeight="1" x14ac:dyDescent="0.25">
      <c r="A228" s="375"/>
      <c r="B228" s="208"/>
      <c r="C228" s="788"/>
      <c r="D228" s="504">
        <v>45342</v>
      </c>
      <c r="E228" s="337" t="s">
        <v>60</v>
      </c>
      <c r="F228" s="564"/>
      <c r="G228" s="390">
        <v>45264</v>
      </c>
      <c r="H228" s="439"/>
      <c r="I228" s="600" t="s">
        <v>613</v>
      </c>
      <c r="J228" s="538" t="s">
        <v>608</v>
      </c>
      <c r="K228" s="406">
        <v>1</v>
      </c>
      <c r="L228" s="161"/>
      <c r="M228" s="137">
        <f t="shared" si="65"/>
        <v>1</v>
      </c>
      <c r="N228" s="164"/>
      <c r="O228" s="438"/>
      <c r="P228" s="137">
        <f t="shared" si="64"/>
        <v>1</v>
      </c>
    </row>
    <row r="229" spans="1:16" s="9" customFormat="1" ht="24.75" customHeight="1" x14ac:dyDescent="0.25">
      <c r="A229" s="89"/>
      <c r="B229" s="379"/>
      <c r="C229" s="790" t="s">
        <v>780</v>
      </c>
      <c r="D229" s="350">
        <v>45422</v>
      </c>
      <c r="E229" s="337" t="s">
        <v>60</v>
      </c>
      <c r="F229" s="697"/>
      <c r="G229" s="390">
        <v>45335</v>
      </c>
      <c r="H229" s="114"/>
      <c r="I229" s="696" t="s">
        <v>776</v>
      </c>
      <c r="J229" s="538" t="s">
        <v>777</v>
      </c>
      <c r="K229" s="470">
        <v>1</v>
      </c>
      <c r="L229" s="115"/>
      <c r="M229" s="137">
        <f t="shared" ref="M229:M230" si="66">K229</f>
        <v>1</v>
      </c>
      <c r="N229" s="164"/>
      <c r="O229" s="438"/>
      <c r="P229" s="137">
        <f t="shared" ref="P229:P230" si="67">M229-N229</f>
        <v>1</v>
      </c>
    </row>
    <row r="230" spans="1:16" s="9" customFormat="1" ht="24.75" customHeight="1" x14ac:dyDescent="0.25">
      <c r="A230" s="698"/>
      <c r="B230" s="699"/>
      <c r="C230" s="818"/>
      <c r="D230" s="701">
        <v>45422</v>
      </c>
      <c r="E230" s="337" t="s">
        <v>60</v>
      </c>
      <c r="F230" s="700"/>
      <c r="G230" s="390">
        <v>45335</v>
      </c>
      <c r="H230" s="114"/>
      <c r="I230" s="696" t="s">
        <v>778</v>
      </c>
      <c r="J230" s="538" t="s">
        <v>779</v>
      </c>
      <c r="K230" s="470">
        <v>2</v>
      </c>
      <c r="L230" s="115"/>
      <c r="M230" s="137">
        <f t="shared" si="66"/>
        <v>2</v>
      </c>
      <c r="N230" s="164"/>
      <c r="O230" s="438"/>
      <c r="P230" s="137">
        <f t="shared" si="67"/>
        <v>2</v>
      </c>
    </row>
    <row r="231" spans="1:16" s="9" customFormat="1" ht="16.5" customHeight="1" x14ac:dyDescent="0.25">
      <c r="A231" s="97"/>
      <c r="B231" s="334" t="s">
        <v>79</v>
      </c>
      <c r="C231" s="642"/>
      <c r="D231" s="98"/>
      <c r="E231" s="99"/>
      <c r="F231" s="100"/>
      <c r="G231" s="101"/>
      <c r="H231" s="102"/>
      <c r="I231" s="103"/>
      <c r="J231" s="105"/>
      <c r="K231" s="106"/>
      <c r="L231" s="53"/>
      <c r="M231" s="49"/>
      <c r="N231" s="55"/>
      <c r="O231" s="53"/>
      <c r="P231" s="54"/>
    </row>
    <row r="232" spans="1:16" s="9" customFormat="1" ht="33.75" customHeight="1" x14ac:dyDescent="0.25">
      <c r="A232" s="78"/>
      <c r="B232" s="79"/>
      <c r="C232" s="467"/>
      <c r="D232" s="350">
        <v>45272</v>
      </c>
      <c r="E232" s="337" t="s">
        <v>50</v>
      </c>
      <c r="F232" s="563"/>
      <c r="G232" s="94">
        <v>45202</v>
      </c>
      <c r="H232" s="525"/>
      <c r="I232" s="338" t="s">
        <v>464</v>
      </c>
      <c r="J232" s="336" t="s">
        <v>462</v>
      </c>
      <c r="K232" s="470">
        <v>1</v>
      </c>
      <c r="L232" s="430"/>
      <c r="M232" s="87">
        <f>K232</f>
        <v>1</v>
      </c>
      <c r="N232" s="160">
        <v>1</v>
      </c>
      <c r="O232" s="91"/>
      <c r="P232" s="87">
        <f t="shared" ref="P232" si="68">M232-N232</f>
        <v>0</v>
      </c>
    </row>
    <row r="233" spans="1:16" s="9" customFormat="1" ht="15.75" customHeight="1" x14ac:dyDescent="0.25">
      <c r="A233" s="97"/>
      <c r="B233" s="334" t="s">
        <v>71</v>
      </c>
      <c r="C233" s="642"/>
      <c r="D233" s="98"/>
      <c r="E233" s="99"/>
      <c r="F233" s="100"/>
      <c r="G233" s="101"/>
      <c r="H233" s="102"/>
      <c r="I233" s="103"/>
      <c r="J233" s="104"/>
      <c r="K233" s="105"/>
      <c r="L233" s="106"/>
      <c r="M233" s="49"/>
      <c r="N233" s="55"/>
      <c r="O233" s="53"/>
      <c r="P233" s="54"/>
    </row>
    <row r="234" spans="1:16" s="1" customFormat="1" ht="27" customHeight="1" x14ac:dyDescent="0.25">
      <c r="A234" s="333"/>
      <c r="B234" s="377"/>
      <c r="C234" s="471"/>
      <c r="D234" s="350"/>
      <c r="E234" s="428" t="s">
        <v>60</v>
      </c>
      <c r="F234" s="445"/>
      <c r="G234" s="354"/>
      <c r="H234" s="421"/>
      <c r="I234" s="338" t="s">
        <v>85</v>
      </c>
      <c r="J234" s="336" t="s">
        <v>77</v>
      </c>
      <c r="K234" s="440">
        <v>0</v>
      </c>
      <c r="L234" s="444"/>
      <c r="M234" s="441">
        <f>K234</f>
        <v>0</v>
      </c>
      <c r="N234" s="427"/>
      <c r="O234" s="142"/>
      <c r="P234" s="352">
        <f>M234-N234</f>
        <v>0</v>
      </c>
    </row>
    <row r="235" spans="1:16" s="56" customFormat="1" ht="18" customHeight="1" x14ac:dyDescent="0.25">
      <c r="A235" s="41"/>
      <c r="B235" s="330" t="s">
        <v>89</v>
      </c>
      <c r="C235" s="642"/>
      <c r="D235" s="44"/>
      <c r="E235" s="45"/>
      <c r="F235" s="46"/>
      <c r="G235" s="47"/>
      <c r="H235" s="48"/>
      <c r="I235" s="49"/>
      <c r="J235" s="50"/>
      <c r="K235" s="51"/>
      <c r="L235" s="53"/>
      <c r="M235" s="49"/>
      <c r="N235" s="55"/>
      <c r="O235" s="53"/>
      <c r="P235" s="54"/>
    </row>
    <row r="236" spans="1:16" s="1" customFormat="1" ht="27" customHeight="1" x14ac:dyDescent="0.25">
      <c r="A236" s="333"/>
      <c r="B236" s="377"/>
      <c r="C236" s="791"/>
      <c r="D236" s="350">
        <v>44643</v>
      </c>
      <c r="E236" s="428" t="s">
        <v>91</v>
      </c>
      <c r="F236" s="445"/>
      <c r="G236" s="354">
        <v>44623</v>
      </c>
      <c r="H236" s="421"/>
      <c r="I236" s="338" t="s">
        <v>99</v>
      </c>
      <c r="J236" s="336" t="s">
        <v>96</v>
      </c>
      <c r="K236" s="440">
        <v>1</v>
      </c>
      <c r="L236" s="444"/>
      <c r="M236" s="441">
        <f t="shared" ref="M236:M238" si="69">K236</f>
        <v>1</v>
      </c>
      <c r="N236" s="427"/>
      <c r="O236" s="142"/>
      <c r="P236" s="352">
        <f t="shared" ref="P236:P238" si="70">M236-N236</f>
        <v>1</v>
      </c>
    </row>
    <row r="237" spans="1:16" s="1" customFormat="1" ht="27" customHeight="1" x14ac:dyDescent="0.25">
      <c r="A237" s="333"/>
      <c r="B237" s="377"/>
      <c r="C237" s="791"/>
      <c r="D237" s="350">
        <v>44643</v>
      </c>
      <c r="E237" s="428" t="s">
        <v>91</v>
      </c>
      <c r="F237" s="445"/>
      <c r="G237" s="354">
        <v>44623</v>
      </c>
      <c r="H237" s="421"/>
      <c r="I237" s="338" t="s">
        <v>100</v>
      </c>
      <c r="J237" s="336" t="s">
        <v>97</v>
      </c>
      <c r="K237" s="440">
        <v>1</v>
      </c>
      <c r="L237" s="444"/>
      <c r="M237" s="441">
        <f t="shared" si="69"/>
        <v>1</v>
      </c>
      <c r="N237" s="427"/>
      <c r="O237" s="142"/>
      <c r="P237" s="352">
        <f t="shared" si="70"/>
        <v>1</v>
      </c>
    </row>
    <row r="238" spans="1:16" s="1" customFormat="1" ht="27" customHeight="1" x14ac:dyDescent="0.25">
      <c r="A238" s="333"/>
      <c r="B238" s="377"/>
      <c r="C238" s="791"/>
      <c r="D238" s="350">
        <v>44643</v>
      </c>
      <c r="E238" s="428" t="s">
        <v>91</v>
      </c>
      <c r="F238" s="445"/>
      <c r="G238" s="354">
        <v>44623</v>
      </c>
      <c r="H238" s="421"/>
      <c r="I238" s="338" t="s">
        <v>101</v>
      </c>
      <c r="J238" s="336" t="s">
        <v>98</v>
      </c>
      <c r="K238" s="440">
        <v>1</v>
      </c>
      <c r="L238" s="444"/>
      <c r="M238" s="441">
        <f t="shared" si="69"/>
        <v>1</v>
      </c>
      <c r="N238" s="427"/>
      <c r="O238" s="142"/>
      <c r="P238" s="352">
        <f t="shared" si="70"/>
        <v>1</v>
      </c>
    </row>
    <row r="239" spans="1:16" s="56" customFormat="1" ht="18" customHeight="1" x14ac:dyDescent="0.25">
      <c r="A239" s="41"/>
      <c r="B239" s="330" t="s">
        <v>69</v>
      </c>
      <c r="C239" s="642"/>
      <c r="D239" s="44"/>
      <c r="E239" s="45"/>
      <c r="F239" s="46"/>
      <c r="G239" s="47"/>
      <c r="H239" s="48"/>
      <c r="I239" s="49"/>
      <c r="J239" s="50"/>
      <c r="K239" s="51"/>
      <c r="L239" s="53"/>
      <c r="M239" s="49"/>
      <c r="N239" s="55"/>
      <c r="O239" s="53"/>
      <c r="P239" s="54"/>
    </row>
    <row r="240" spans="1:16" s="9" customFormat="1" ht="55.5" customHeight="1" x14ac:dyDescent="0.25">
      <c r="A240" s="78"/>
      <c r="B240" s="79"/>
      <c r="C240" s="597" t="s">
        <v>639</v>
      </c>
      <c r="D240" s="426">
        <v>45396</v>
      </c>
      <c r="E240" s="341" t="s">
        <v>50</v>
      </c>
      <c r="F240" s="594"/>
      <c r="G240" s="94">
        <v>45267</v>
      </c>
      <c r="H240" s="429"/>
      <c r="I240" s="468" t="s">
        <v>640</v>
      </c>
      <c r="J240" s="336" t="s">
        <v>638</v>
      </c>
      <c r="K240" s="453">
        <v>1</v>
      </c>
      <c r="L240" s="430"/>
      <c r="M240" s="441">
        <f t="shared" ref="M240:M241" si="71">K240</f>
        <v>1</v>
      </c>
      <c r="N240" s="427"/>
      <c r="O240" s="142"/>
      <c r="P240" s="352">
        <f t="shared" ref="P240:P241" si="72">M240-N240</f>
        <v>1</v>
      </c>
    </row>
    <row r="241" spans="1:17" s="1" customFormat="1" ht="38.25" customHeight="1" x14ac:dyDescent="0.25">
      <c r="A241" s="333"/>
      <c r="B241" s="377"/>
      <c r="C241" s="592" t="s">
        <v>554</v>
      </c>
      <c r="D241" s="350">
        <v>45365</v>
      </c>
      <c r="E241" s="428" t="s">
        <v>50</v>
      </c>
      <c r="F241" s="445"/>
      <c r="G241" s="354">
        <v>45244</v>
      </c>
      <c r="H241" s="421"/>
      <c r="I241" s="468" t="s">
        <v>555</v>
      </c>
      <c r="J241" s="336" t="s">
        <v>635</v>
      </c>
      <c r="K241" s="440">
        <v>1</v>
      </c>
      <c r="L241" s="444"/>
      <c r="M241" s="441">
        <f t="shared" si="71"/>
        <v>1</v>
      </c>
      <c r="N241" s="427"/>
      <c r="O241" s="142"/>
      <c r="P241" s="352">
        <f t="shared" si="72"/>
        <v>1</v>
      </c>
    </row>
    <row r="242" spans="1:17" s="9" customFormat="1" ht="20.25" customHeight="1" x14ac:dyDescent="0.25">
      <c r="A242" s="97"/>
      <c r="B242" s="330" t="s">
        <v>274</v>
      </c>
      <c r="C242" s="642"/>
      <c r="D242" s="98"/>
      <c r="E242" s="99"/>
      <c r="F242" s="100"/>
      <c r="G242" s="101"/>
      <c r="H242" s="102"/>
      <c r="I242" s="103"/>
      <c r="J242" s="105"/>
      <c r="K242" s="106"/>
      <c r="L242" s="53"/>
      <c r="M242" s="49"/>
      <c r="N242" s="55"/>
      <c r="O242" s="53"/>
      <c r="P242" s="54"/>
    </row>
    <row r="243" spans="1:17" s="56" customFormat="1" ht="18.75" customHeight="1" x14ac:dyDescent="0.25">
      <c r="A243" s="41"/>
      <c r="B243" s="330" t="s">
        <v>342</v>
      </c>
      <c r="C243" s="642"/>
      <c r="D243" s="44"/>
      <c r="E243" s="44"/>
      <c r="F243" s="46"/>
      <c r="G243" s="47"/>
      <c r="H243" s="48"/>
      <c r="I243" s="49"/>
      <c r="J243" s="50"/>
      <c r="K243" s="51"/>
      <c r="L243" s="53"/>
      <c r="M243" s="49"/>
      <c r="N243" s="55"/>
      <c r="O243" s="53"/>
      <c r="P243" s="54"/>
    </row>
    <row r="244" spans="1:17" s="154" customFormat="1" ht="27.75" customHeight="1" x14ac:dyDescent="0.25">
      <c r="A244" s="143" t="s">
        <v>3</v>
      </c>
      <c r="B244" s="144"/>
      <c r="C244" s="150"/>
      <c r="D244" s="146"/>
      <c r="E244" s="146"/>
      <c r="F244" s="147"/>
      <c r="G244" s="147"/>
      <c r="H244" s="370"/>
      <c r="I244" s="149"/>
      <c r="J244" s="184"/>
      <c r="K244" s="150"/>
      <c r="L244" s="152"/>
      <c r="M244" s="153"/>
      <c r="N244" s="151"/>
      <c r="O244" s="152"/>
      <c r="P244" s="153"/>
    </row>
    <row r="245" spans="1:17" s="40" customFormat="1" ht="24" customHeight="1" x14ac:dyDescent="0.3">
      <c r="A245" s="339" t="s">
        <v>55</v>
      </c>
      <c r="B245" s="36"/>
      <c r="C245" s="638"/>
      <c r="D245" s="38"/>
      <c r="E245" s="38"/>
      <c r="F245" s="39"/>
      <c r="G245" s="39"/>
      <c r="H245" s="197"/>
      <c r="I245" s="198"/>
      <c r="J245" s="156"/>
      <c r="K245" s="157"/>
      <c r="L245" s="197"/>
      <c r="M245" s="158"/>
      <c r="N245" s="158"/>
      <c r="O245" s="197"/>
      <c r="P245" s="158"/>
    </row>
    <row r="246" spans="1:17" s="1" customFormat="1" ht="38.25" customHeight="1" x14ac:dyDescent="0.25">
      <c r="A246" s="539"/>
      <c r="B246" s="540"/>
      <c r="C246" s="472" t="s">
        <v>302</v>
      </c>
      <c r="D246" s="350">
        <v>44803</v>
      </c>
      <c r="E246" s="341" t="s">
        <v>301</v>
      </c>
      <c r="F246" s="542" t="s">
        <v>314</v>
      </c>
      <c r="G246" s="331">
        <v>45099</v>
      </c>
      <c r="H246" s="541"/>
      <c r="I246" s="338" t="s">
        <v>110</v>
      </c>
      <c r="J246" s="336" t="s">
        <v>109</v>
      </c>
      <c r="K246" s="470">
        <v>6</v>
      </c>
      <c r="L246" s="543"/>
      <c r="M246" s="352">
        <v>1</v>
      </c>
      <c r="N246" s="544"/>
      <c r="O246" s="545"/>
      <c r="P246" s="352">
        <v>1</v>
      </c>
      <c r="Q246" s="515" t="s">
        <v>303</v>
      </c>
    </row>
    <row r="247" spans="1:17" s="1" customFormat="1" ht="38.25" customHeight="1" x14ac:dyDescent="0.25">
      <c r="A247" s="333"/>
      <c r="B247" s="540"/>
      <c r="C247" s="472" t="s">
        <v>699</v>
      </c>
      <c r="D247" s="350">
        <v>45320</v>
      </c>
      <c r="E247" s="341" t="s">
        <v>50</v>
      </c>
      <c r="F247" s="542" t="s">
        <v>747</v>
      </c>
      <c r="G247" s="331">
        <v>45275</v>
      </c>
      <c r="H247" s="630"/>
      <c r="I247" s="338" t="s">
        <v>698</v>
      </c>
      <c r="J247" s="336" t="s">
        <v>697</v>
      </c>
      <c r="K247" s="470">
        <v>1</v>
      </c>
      <c r="L247" s="543"/>
      <c r="M247" s="352">
        <v>1</v>
      </c>
      <c r="N247" s="544">
        <v>1</v>
      </c>
      <c r="O247" s="545"/>
      <c r="P247" s="352"/>
      <c r="Q247" s="515" t="s">
        <v>700</v>
      </c>
    </row>
    <row r="248" spans="1:17" s="154" customFormat="1" ht="22.65" customHeight="1" x14ac:dyDescent="0.25">
      <c r="A248" s="340" t="s">
        <v>78</v>
      </c>
      <c r="B248" s="144"/>
      <c r="C248" s="150"/>
      <c r="D248" s="146"/>
      <c r="E248" s="146"/>
      <c r="F248" s="147"/>
      <c r="G248" s="147"/>
      <c r="H248" s="370"/>
      <c r="I248" s="149"/>
      <c r="J248" s="184"/>
      <c r="K248" s="150"/>
      <c r="L248" s="152"/>
      <c r="M248" s="153"/>
      <c r="N248" s="151"/>
      <c r="O248" s="152"/>
      <c r="P248" s="153"/>
      <c r="Q248" s="537"/>
    </row>
    <row r="249" spans="1:17" s="40" customFormat="1" ht="23.25" customHeight="1" x14ac:dyDescent="0.3">
      <c r="A249" s="634" t="s">
        <v>748</v>
      </c>
      <c r="B249" s="200"/>
      <c r="C249" s="645"/>
      <c r="D249" s="407"/>
      <c r="E249" s="407"/>
      <c r="F249" s="408"/>
      <c r="G249" s="408"/>
      <c r="H249" s="155"/>
      <c r="I249" s="198"/>
      <c r="J249" s="409"/>
      <c r="K249" s="204"/>
      <c r="L249" s="155"/>
      <c r="M249" s="159"/>
      <c r="N249" s="159"/>
      <c r="O249" s="155"/>
      <c r="P249" s="159"/>
    </row>
    <row r="250" spans="1:17" s="121" customFormat="1" ht="27.75" customHeight="1" x14ac:dyDescent="0.25">
      <c r="A250" s="78"/>
      <c r="B250" s="814"/>
      <c r="C250" s="815"/>
      <c r="D250" s="80"/>
      <c r="E250" s="341" t="s">
        <v>751</v>
      </c>
      <c r="F250" s="82"/>
      <c r="G250" s="83">
        <v>45328</v>
      </c>
      <c r="H250" s="90"/>
      <c r="I250" s="338" t="s">
        <v>749</v>
      </c>
      <c r="J250" s="335" t="s">
        <v>750</v>
      </c>
      <c r="K250" s="86">
        <v>1</v>
      </c>
      <c r="L250" s="91"/>
      <c r="M250" s="87">
        <f t="shared" ref="M250:M271" si="73">K250</f>
        <v>1</v>
      </c>
      <c r="N250" s="88"/>
      <c r="O250" s="91"/>
      <c r="P250" s="87">
        <f t="shared" ref="P250" si="74">K250-N250</f>
        <v>1</v>
      </c>
    </row>
    <row r="251" spans="1:17" s="9" customFormat="1" ht="36.75" customHeight="1" x14ac:dyDescent="0.25">
      <c r="A251" s="89"/>
      <c r="B251" s="379"/>
      <c r="C251" s="509"/>
      <c r="D251" s="455" t="s">
        <v>216</v>
      </c>
      <c r="E251" s="428" t="s">
        <v>50</v>
      </c>
      <c r="F251" s="571" t="s">
        <v>493</v>
      </c>
      <c r="G251" s="83">
        <v>44994</v>
      </c>
      <c r="H251" s="457"/>
      <c r="I251" s="338" t="s">
        <v>217</v>
      </c>
      <c r="J251" s="335" t="s">
        <v>218</v>
      </c>
      <c r="K251" s="443">
        <f>24-2-4</f>
        <v>18</v>
      </c>
      <c r="L251" s="458"/>
      <c r="M251" s="137">
        <f t="shared" si="73"/>
        <v>18</v>
      </c>
      <c r="N251" s="433"/>
      <c r="O251" s="438"/>
      <c r="P251" s="87">
        <f t="shared" ref="P251:P271" si="75">M251-N251</f>
        <v>18</v>
      </c>
    </row>
    <row r="252" spans="1:17" s="9" customFormat="1" ht="26.4" x14ac:dyDescent="0.25">
      <c r="A252" s="89"/>
      <c r="B252" s="379"/>
      <c r="C252" s="813"/>
      <c r="D252" s="455"/>
      <c r="E252" s="428" t="s">
        <v>50</v>
      </c>
      <c r="F252" s="456"/>
      <c r="G252" s="83">
        <v>44922</v>
      </c>
      <c r="H252" s="457"/>
      <c r="I252" s="338" t="s">
        <v>164</v>
      </c>
      <c r="J252" s="335" t="s">
        <v>161</v>
      </c>
      <c r="K252" s="443">
        <v>1</v>
      </c>
      <c r="L252" s="458">
        <v>1</v>
      </c>
      <c r="M252" s="137">
        <f t="shared" si="73"/>
        <v>1</v>
      </c>
      <c r="N252" s="433"/>
      <c r="O252" s="438"/>
      <c r="P252" s="87">
        <f t="shared" si="75"/>
        <v>1</v>
      </c>
    </row>
    <row r="253" spans="1:17" s="9" customFormat="1" ht="26.4" x14ac:dyDescent="0.25">
      <c r="A253" s="89"/>
      <c r="B253" s="379"/>
      <c r="C253" s="813"/>
      <c r="D253" s="455"/>
      <c r="E253" s="428" t="s">
        <v>50</v>
      </c>
      <c r="F253" s="456"/>
      <c r="G253" s="83">
        <v>44922</v>
      </c>
      <c r="H253" s="457"/>
      <c r="I253" s="338" t="s">
        <v>165</v>
      </c>
      <c r="J253" s="335" t="s">
        <v>162</v>
      </c>
      <c r="K253" s="443">
        <v>1</v>
      </c>
      <c r="L253" s="458">
        <v>1</v>
      </c>
      <c r="M253" s="137">
        <f t="shared" si="73"/>
        <v>1</v>
      </c>
      <c r="N253" s="433"/>
      <c r="O253" s="438"/>
      <c r="P253" s="87">
        <f t="shared" si="75"/>
        <v>1</v>
      </c>
    </row>
    <row r="254" spans="1:17" s="9" customFormat="1" ht="23.25" customHeight="1" x14ac:dyDescent="0.25">
      <c r="A254" s="89"/>
      <c r="B254" s="379"/>
      <c r="C254" s="813"/>
      <c r="D254" s="455"/>
      <c r="E254" s="428" t="s">
        <v>50</v>
      </c>
      <c r="F254" s="456"/>
      <c r="G254" s="83">
        <v>44922</v>
      </c>
      <c r="H254" s="457"/>
      <c r="I254" s="338" t="s">
        <v>166</v>
      </c>
      <c r="J254" s="335" t="s">
        <v>163</v>
      </c>
      <c r="K254" s="443">
        <v>1</v>
      </c>
      <c r="L254" s="458">
        <v>1</v>
      </c>
      <c r="M254" s="137">
        <f t="shared" si="73"/>
        <v>1</v>
      </c>
      <c r="N254" s="433"/>
      <c r="O254" s="438"/>
      <c r="P254" s="87">
        <f t="shared" si="75"/>
        <v>1</v>
      </c>
    </row>
    <row r="255" spans="1:17" s="9" customFormat="1" ht="18" customHeight="1" x14ac:dyDescent="0.25">
      <c r="A255" s="89"/>
      <c r="B255" s="379"/>
      <c r="C255" s="813"/>
      <c r="D255" s="455"/>
      <c r="E255" s="428" t="s">
        <v>50</v>
      </c>
      <c r="F255" s="456"/>
      <c r="G255" s="83">
        <v>44922</v>
      </c>
      <c r="H255" s="457"/>
      <c r="I255" s="338" t="s">
        <v>175</v>
      </c>
      <c r="J255" s="335" t="s">
        <v>167</v>
      </c>
      <c r="K255" s="443">
        <v>1</v>
      </c>
      <c r="L255" s="458">
        <v>4</v>
      </c>
      <c r="M255" s="137">
        <f t="shared" si="73"/>
        <v>1</v>
      </c>
      <c r="N255" s="433"/>
      <c r="O255" s="438"/>
      <c r="P255" s="87">
        <f t="shared" si="75"/>
        <v>1</v>
      </c>
    </row>
    <row r="256" spans="1:17" s="9" customFormat="1" ht="32.25" customHeight="1" x14ac:dyDescent="0.25">
      <c r="A256" s="89"/>
      <c r="B256" s="379"/>
      <c r="C256" s="813"/>
      <c r="D256" s="455"/>
      <c r="E256" s="428" t="s">
        <v>50</v>
      </c>
      <c r="F256" s="456"/>
      <c r="G256" s="83">
        <v>44922</v>
      </c>
      <c r="H256" s="457"/>
      <c r="I256" s="338" t="s">
        <v>176</v>
      </c>
      <c r="J256" s="335" t="s">
        <v>169</v>
      </c>
      <c r="K256" s="443">
        <v>1</v>
      </c>
      <c r="L256" s="458">
        <v>8</v>
      </c>
      <c r="M256" s="137">
        <f t="shared" si="73"/>
        <v>1</v>
      </c>
      <c r="N256" s="433"/>
      <c r="O256" s="438"/>
      <c r="P256" s="87">
        <f t="shared" si="75"/>
        <v>1</v>
      </c>
    </row>
    <row r="257" spans="1:16" s="9" customFormat="1" ht="25.5" customHeight="1" x14ac:dyDescent="0.25">
      <c r="A257" s="89"/>
      <c r="B257" s="379"/>
      <c r="C257" s="813"/>
      <c r="D257" s="455"/>
      <c r="E257" s="428" t="s">
        <v>50</v>
      </c>
      <c r="F257" s="456"/>
      <c r="G257" s="83">
        <v>44922</v>
      </c>
      <c r="H257" s="457"/>
      <c r="I257" s="338" t="s">
        <v>177</v>
      </c>
      <c r="J257" s="335" t="s">
        <v>170</v>
      </c>
      <c r="K257" s="443">
        <v>1</v>
      </c>
      <c r="L257" s="458">
        <v>9</v>
      </c>
      <c r="M257" s="137">
        <f t="shared" si="73"/>
        <v>1</v>
      </c>
      <c r="N257" s="433"/>
      <c r="O257" s="438"/>
      <c r="P257" s="87">
        <f t="shared" si="75"/>
        <v>1</v>
      </c>
    </row>
    <row r="258" spans="1:16" s="9" customFormat="1" ht="25.5" customHeight="1" x14ac:dyDescent="0.25">
      <c r="A258" s="89"/>
      <c r="B258" s="379"/>
      <c r="C258" s="813"/>
      <c r="D258" s="455"/>
      <c r="E258" s="428" t="s">
        <v>50</v>
      </c>
      <c r="G258" s="83">
        <v>44922</v>
      </c>
      <c r="H258" s="457"/>
      <c r="I258" s="338" t="s">
        <v>178</v>
      </c>
      <c r="J258" s="335" t="s">
        <v>171</v>
      </c>
      <c r="K258" s="443">
        <v>1</v>
      </c>
      <c r="L258" s="458">
        <v>11</v>
      </c>
      <c r="M258" s="137">
        <f t="shared" si="73"/>
        <v>1</v>
      </c>
      <c r="N258" s="433"/>
      <c r="O258" s="438"/>
      <c r="P258" s="87">
        <f t="shared" si="75"/>
        <v>1</v>
      </c>
    </row>
    <row r="259" spans="1:16" s="9" customFormat="1" ht="24.75" customHeight="1" x14ac:dyDescent="0.25">
      <c r="A259" s="89"/>
      <c r="B259" s="379"/>
      <c r="C259" s="813"/>
      <c r="D259" s="455"/>
      <c r="E259" s="428" t="s">
        <v>50</v>
      </c>
      <c r="F259" s="456"/>
      <c r="G259" s="83">
        <v>44922</v>
      </c>
      <c r="H259" s="457"/>
      <c r="I259" s="338" t="s">
        <v>179</v>
      </c>
      <c r="J259" s="335" t="s">
        <v>173</v>
      </c>
      <c r="K259" s="443">
        <v>1</v>
      </c>
      <c r="L259" s="458">
        <v>12</v>
      </c>
      <c r="M259" s="137">
        <f t="shared" si="73"/>
        <v>1</v>
      </c>
      <c r="N259" s="433"/>
      <c r="O259" s="438"/>
      <c r="P259" s="87">
        <f t="shared" si="75"/>
        <v>1</v>
      </c>
    </row>
    <row r="260" spans="1:16" s="9" customFormat="1" ht="29.25" customHeight="1" x14ac:dyDescent="0.25">
      <c r="A260" s="89"/>
      <c r="B260" s="379"/>
      <c r="C260" s="813"/>
      <c r="D260" s="455"/>
      <c r="E260" s="428" t="s">
        <v>50</v>
      </c>
      <c r="F260" s="456"/>
      <c r="G260" s="83">
        <v>44922</v>
      </c>
      <c r="H260" s="457"/>
      <c r="I260" s="338" t="s">
        <v>180</v>
      </c>
      <c r="J260" s="335" t="s">
        <v>172</v>
      </c>
      <c r="K260" s="443">
        <v>1</v>
      </c>
      <c r="L260" s="458">
        <v>13</v>
      </c>
      <c r="M260" s="137">
        <f t="shared" si="73"/>
        <v>1</v>
      </c>
      <c r="N260" s="433"/>
      <c r="O260" s="438"/>
      <c r="P260" s="87">
        <f t="shared" si="75"/>
        <v>1</v>
      </c>
    </row>
    <row r="261" spans="1:16" s="9" customFormat="1" ht="15.75" customHeight="1" x14ac:dyDescent="0.25">
      <c r="A261" s="89"/>
      <c r="B261" s="379"/>
      <c r="C261" s="813"/>
      <c r="D261" s="455"/>
      <c r="E261" s="428" t="s">
        <v>50</v>
      </c>
      <c r="F261" s="456"/>
      <c r="G261" s="83">
        <v>44922</v>
      </c>
      <c r="H261" s="457"/>
      <c r="I261" s="338" t="s">
        <v>181</v>
      </c>
      <c r="J261" s="335" t="s">
        <v>174</v>
      </c>
      <c r="K261" s="443">
        <v>1</v>
      </c>
      <c r="L261" s="458">
        <v>16</v>
      </c>
      <c r="M261" s="137">
        <f t="shared" si="73"/>
        <v>1</v>
      </c>
      <c r="N261" s="433"/>
      <c r="O261" s="438"/>
      <c r="P261" s="87">
        <f t="shared" si="75"/>
        <v>1</v>
      </c>
    </row>
    <row r="262" spans="1:16" s="9" customFormat="1" ht="32.25" customHeight="1" x14ac:dyDescent="0.25">
      <c r="A262" s="89"/>
      <c r="B262" s="379"/>
      <c r="C262" s="813"/>
      <c r="D262" s="455"/>
      <c r="E262" s="428" t="s">
        <v>50</v>
      </c>
      <c r="F262" s="456"/>
      <c r="G262" s="83">
        <v>44922</v>
      </c>
      <c r="H262" s="457"/>
      <c r="I262" s="338" t="s">
        <v>183</v>
      </c>
      <c r="J262" s="335" t="s">
        <v>187</v>
      </c>
      <c r="K262" s="443">
        <v>1</v>
      </c>
      <c r="L262" s="458">
        <v>17</v>
      </c>
      <c r="M262" s="137">
        <f t="shared" si="73"/>
        <v>1</v>
      </c>
      <c r="N262" s="433"/>
      <c r="O262" s="438"/>
      <c r="P262" s="87">
        <f t="shared" si="75"/>
        <v>1</v>
      </c>
    </row>
    <row r="263" spans="1:16" s="9" customFormat="1" ht="32.25" customHeight="1" x14ac:dyDescent="0.25">
      <c r="A263" s="89"/>
      <c r="B263" s="379"/>
      <c r="C263" s="813"/>
      <c r="D263" s="455"/>
      <c r="E263" s="428" t="s">
        <v>50</v>
      </c>
      <c r="F263" s="456"/>
      <c r="G263" s="83">
        <v>44922</v>
      </c>
      <c r="H263" s="457"/>
      <c r="I263" s="338" t="s">
        <v>182</v>
      </c>
      <c r="J263" s="335" t="s">
        <v>186</v>
      </c>
      <c r="K263" s="443">
        <v>1</v>
      </c>
      <c r="L263" s="458">
        <v>18</v>
      </c>
      <c r="M263" s="137">
        <f t="shared" si="73"/>
        <v>1</v>
      </c>
      <c r="N263" s="433"/>
      <c r="O263" s="438"/>
      <c r="P263" s="87">
        <f t="shared" si="75"/>
        <v>1</v>
      </c>
    </row>
    <row r="264" spans="1:16" s="9" customFormat="1" ht="32.25" customHeight="1" x14ac:dyDescent="0.25">
      <c r="A264" s="89"/>
      <c r="B264" s="379"/>
      <c r="C264" s="813"/>
      <c r="D264" s="455"/>
      <c r="E264" s="428" t="s">
        <v>50</v>
      </c>
      <c r="F264" s="456"/>
      <c r="G264" s="83">
        <v>44922</v>
      </c>
      <c r="H264" s="457"/>
      <c r="I264" s="338" t="s">
        <v>184</v>
      </c>
      <c r="J264" s="335" t="s">
        <v>185</v>
      </c>
      <c r="K264" s="443">
        <v>1</v>
      </c>
      <c r="L264" s="458"/>
      <c r="M264" s="137">
        <f t="shared" si="73"/>
        <v>1</v>
      </c>
      <c r="N264" s="433"/>
      <c r="O264" s="438"/>
      <c r="P264" s="87">
        <f t="shared" si="75"/>
        <v>1</v>
      </c>
    </row>
    <row r="265" spans="1:16" s="9" customFormat="1" ht="42" customHeight="1" x14ac:dyDescent="0.25">
      <c r="A265" s="89"/>
      <c r="B265" s="379"/>
      <c r="C265" s="813"/>
      <c r="D265" s="455"/>
      <c r="E265" s="428" t="s">
        <v>50</v>
      </c>
      <c r="F265" s="456"/>
      <c r="G265" s="83">
        <v>44922</v>
      </c>
      <c r="H265" s="457"/>
      <c r="I265" s="338" t="s">
        <v>188</v>
      </c>
      <c r="J265" s="335" t="s">
        <v>195</v>
      </c>
      <c r="K265" s="443">
        <v>1</v>
      </c>
      <c r="L265" s="458"/>
      <c r="M265" s="137">
        <f t="shared" si="73"/>
        <v>1</v>
      </c>
      <c r="N265" s="433"/>
      <c r="O265" s="438"/>
      <c r="P265" s="87">
        <f t="shared" si="75"/>
        <v>1</v>
      </c>
    </row>
    <row r="266" spans="1:16" s="9" customFormat="1" ht="32.25" customHeight="1" x14ac:dyDescent="0.25">
      <c r="A266" s="89"/>
      <c r="B266" s="379"/>
      <c r="C266" s="813"/>
      <c r="D266" s="455"/>
      <c r="E266" s="428" t="s">
        <v>50</v>
      </c>
      <c r="F266" s="456"/>
      <c r="G266" s="83">
        <v>44922</v>
      </c>
      <c r="H266" s="457"/>
      <c r="I266" s="338" t="s">
        <v>189</v>
      </c>
      <c r="J266" s="335" t="s">
        <v>196</v>
      </c>
      <c r="K266" s="443">
        <v>1</v>
      </c>
      <c r="L266" s="458"/>
      <c r="M266" s="137">
        <f t="shared" si="73"/>
        <v>1</v>
      </c>
      <c r="N266" s="433"/>
      <c r="O266" s="438"/>
      <c r="P266" s="87">
        <f t="shared" si="75"/>
        <v>1</v>
      </c>
    </row>
    <row r="267" spans="1:16" s="9" customFormat="1" ht="32.25" customHeight="1" x14ac:dyDescent="0.25">
      <c r="A267" s="89"/>
      <c r="B267" s="379"/>
      <c r="C267" s="813"/>
      <c r="D267" s="455"/>
      <c r="E267" s="428" t="s">
        <v>50</v>
      </c>
      <c r="F267" s="456"/>
      <c r="G267" s="83">
        <v>44922</v>
      </c>
      <c r="H267" s="457"/>
      <c r="I267" s="338" t="s">
        <v>190</v>
      </c>
      <c r="J267" s="335" t="s">
        <v>197</v>
      </c>
      <c r="K267" s="443">
        <v>1</v>
      </c>
      <c r="L267" s="458"/>
      <c r="M267" s="137">
        <f t="shared" si="73"/>
        <v>1</v>
      </c>
      <c r="N267" s="433"/>
      <c r="O267" s="438"/>
      <c r="P267" s="87">
        <f t="shared" si="75"/>
        <v>1</v>
      </c>
    </row>
    <row r="268" spans="1:16" s="9" customFormat="1" ht="32.25" customHeight="1" x14ac:dyDescent="0.25">
      <c r="A268" s="89"/>
      <c r="B268" s="379"/>
      <c r="C268" s="813"/>
      <c r="D268" s="455"/>
      <c r="E268" s="428" t="s">
        <v>50</v>
      </c>
      <c r="F268" s="456"/>
      <c r="G268" s="83">
        <v>44922</v>
      </c>
      <c r="H268" s="457"/>
      <c r="I268" s="338" t="s">
        <v>191</v>
      </c>
      <c r="J268" s="335" t="s">
        <v>198</v>
      </c>
      <c r="K268" s="443">
        <v>1</v>
      </c>
      <c r="L268" s="458"/>
      <c r="M268" s="137">
        <f t="shared" si="73"/>
        <v>1</v>
      </c>
      <c r="N268" s="433"/>
      <c r="O268" s="438"/>
      <c r="P268" s="87">
        <f t="shared" si="75"/>
        <v>1</v>
      </c>
    </row>
    <row r="269" spans="1:16" s="9" customFormat="1" ht="32.25" customHeight="1" x14ac:dyDescent="0.25">
      <c r="A269" s="89"/>
      <c r="B269" s="379"/>
      <c r="C269" s="813"/>
      <c r="D269" s="455"/>
      <c r="E269" s="428" t="s">
        <v>50</v>
      </c>
      <c r="F269" s="456"/>
      <c r="G269" s="83">
        <v>44922</v>
      </c>
      <c r="H269" s="457"/>
      <c r="I269" s="338" t="s">
        <v>192</v>
      </c>
      <c r="J269" s="335" t="s">
        <v>199</v>
      </c>
      <c r="K269" s="443">
        <v>1</v>
      </c>
      <c r="L269" s="458"/>
      <c r="M269" s="137">
        <f t="shared" si="73"/>
        <v>1</v>
      </c>
      <c r="N269" s="433"/>
      <c r="O269" s="438"/>
      <c r="P269" s="87">
        <f t="shared" si="75"/>
        <v>1</v>
      </c>
    </row>
    <row r="270" spans="1:16" s="9" customFormat="1" ht="32.25" customHeight="1" x14ac:dyDescent="0.25">
      <c r="A270" s="89"/>
      <c r="B270" s="379"/>
      <c r="C270" s="813"/>
      <c r="D270" s="455"/>
      <c r="E270" s="428" t="s">
        <v>50</v>
      </c>
      <c r="F270" s="456"/>
      <c r="G270" s="83">
        <v>44922</v>
      </c>
      <c r="H270" s="457"/>
      <c r="I270" s="338" t="s">
        <v>193</v>
      </c>
      <c r="J270" s="335" t="s">
        <v>200</v>
      </c>
      <c r="K270" s="443">
        <v>1</v>
      </c>
      <c r="L270" s="458"/>
      <c r="M270" s="137">
        <f t="shared" si="73"/>
        <v>1</v>
      </c>
      <c r="N270" s="433"/>
      <c r="O270" s="438"/>
      <c r="P270" s="87">
        <f t="shared" si="75"/>
        <v>1</v>
      </c>
    </row>
    <row r="271" spans="1:16" s="9" customFormat="1" ht="32.25" customHeight="1" x14ac:dyDescent="0.25">
      <c r="A271" s="89"/>
      <c r="B271" s="379"/>
      <c r="C271" s="813"/>
      <c r="D271" s="455"/>
      <c r="E271" s="428" t="s">
        <v>50</v>
      </c>
      <c r="F271" s="456"/>
      <c r="G271" s="83">
        <v>44922</v>
      </c>
      <c r="H271" s="457"/>
      <c r="I271" s="338" t="s">
        <v>194</v>
      </c>
      <c r="J271" s="335" t="s">
        <v>201</v>
      </c>
      <c r="K271" s="443">
        <v>1</v>
      </c>
      <c r="L271" s="458"/>
      <c r="M271" s="137">
        <f t="shared" si="73"/>
        <v>1</v>
      </c>
      <c r="N271" s="433"/>
      <c r="O271" s="438"/>
      <c r="P271" s="87">
        <f t="shared" si="75"/>
        <v>1</v>
      </c>
    </row>
    <row r="272" spans="1:16" s="154" customFormat="1" ht="22.65" customHeight="1" x14ac:dyDescent="0.25">
      <c r="A272" s="143" t="s">
        <v>26</v>
      </c>
      <c r="B272" s="144"/>
      <c r="C272" s="150"/>
      <c r="D272" s="146"/>
      <c r="E272" s="146"/>
      <c r="F272" s="147"/>
      <c r="G272" s="147"/>
      <c r="H272" s="370"/>
      <c r="I272" s="149"/>
      <c r="J272" s="184"/>
      <c r="K272" s="150"/>
      <c r="L272" s="152"/>
      <c r="M272" s="153"/>
      <c r="N272" s="151"/>
      <c r="O272" s="152"/>
      <c r="P272" s="153"/>
    </row>
    <row r="273" spans="1:16" s="40" customFormat="1" ht="20.25" customHeight="1" x14ac:dyDescent="0.3">
      <c r="A273" s="339" t="s">
        <v>46</v>
      </c>
      <c r="B273" s="396"/>
      <c r="C273" s="646"/>
      <c r="D273" s="398"/>
      <c r="E273" s="398"/>
      <c r="F273" s="399"/>
      <c r="G273" s="399"/>
      <c r="H273" s="400"/>
      <c r="I273" s="401"/>
      <c r="J273" s="402"/>
      <c r="K273" s="403"/>
      <c r="L273" s="400"/>
      <c r="M273" s="404"/>
      <c r="N273" s="404"/>
      <c r="O273" s="400"/>
      <c r="P273" s="404"/>
    </row>
    <row r="274" spans="1:16" s="121" customFormat="1" ht="24" customHeight="1" x14ac:dyDescent="0.25">
      <c r="A274" s="78"/>
      <c r="B274" s="78"/>
      <c r="C274" s="469" t="s">
        <v>1</v>
      </c>
      <c r="D274" s="426"/>
      <c r="E274" s="337" t="s">
        <v>49</v>
      </c>
      <c r="F274" s="567">
        <v>1111302.06</v>
      </c>
      <c r="G274" s="94">
        <v>43809</v>
      </c>
      <c r="H274" s="90"/>
      <c r="I274" s="392" t="s">
        <v>64</v>
      </c>
      <c r="J274" s="393" t="s">
        <v>65</v>
      </c>
      <c r="K274" s="582">
        <v>1</v>
      </c>
      <c r="L274" s="347"/>
      <c r="M274" s="394">
        <f>K274</f>
        <v>1</v>
      </c>
      <c r="N274" s="395"/>
      <c r="O274" s="347"/>
      <c r="P274" s="394">
        <f t="shared" ref="P274:P291" si="76">K274-N274</f>
        <v>1</v>
      </c>
    </row>
    <row r="275" spans="1:16" s="121" customFormat="1" ht="24" customHeight="1" x14ac:dyDescent="0.25">
      <c r="A275" s="78"/>
      <c r="B275" s="78"/>
      <c r="C275" s="469"/>
      <c r="D275" s="426"/>
      <c r="E275" s="337" t="s">
        <v>383</v>
      </c>
      <c r="F275" s="567"/>
      <c r="G275" s="94">
        <v>45238</v>
      </c>
      <c r="H275" s="90"/>
      <c r="I275" s="602" t="s">
        <v>516</v>
      </c>
      <c r="J275" s="581" t="s">
        <v>517</v>
      </c>
      <c r="K275" s="582">
        <v>1</v>
      </c>
      <c r="L275" s="347"/>
      <c r="M275" s="394">
        <f>K275</f>
        <v>1</v>
      </c>
      <c r="N275" s="395"/>
      <c r="O275" s="347"/>
      <c r="P275" s="394">
        <f t="shared" si="76"/>
        <v>1</v>
      </c>
    </row>
    <row r="276" spans="1:16" s="121" customFormat="1" ht="24" customHeight="1" x14ac:dyDescent="0.25">
      <c r="A276" s="78"/>
      <c r="B276" s="78"/>
      <c r="C276" s="469"/>
      <c r="D276" s="426"/>
      <c r="E276" s="337" t="s">
        <v>383</v>
      </c>
      <c r="F276" s="567"/>
      <c r="G276" s="354">
        <v>45245</v>
      </c>
      <c r="H276" s="90"/>
      <c r="I276" s="603" t="s">
        <v>531</v>
      </c>
      <c r="J276" s="588" t="s">
        <v>530</v>
      </c>
      <c r="K276" s="589">
        <v>1</v>
      </c>
      <c r="L276" s="347"/>
      <c r="M276" s="394">
        <f>K276</f>
        <v>1</v>
      </c>
      <c r="N276" s="395"/>
      <c r="O276" s="347"/>
      <c r="P276" s="394">
        <f t="shared" si="76"/>
        <v>1</v>
      </c>
    </row>
    <row r="277" spans="1:16" s="121" customFormat="1" ht="23.25" customHeight="1" x14ac:dyDescent="0.25">
      <c r="A277" s="78"/>
      <c r="B277" s="78"/>
      <c r="C277" s="647"/>
      <c r="D277" s="80"/>
      <c r="E277" s="341" t="s">
        <v>49</v>
      </c>
      <c r="F277" s="566">
        <v>1895587.46</v>
      </c>
      <c r="G277" s="83">
        <v>43648</v>
      </c>
      <c r="H277" s="90"/>
      <c r="I277" s="344"/>
      <c r="J277" s="345" t="s">
        <v>62</v>
      </c>
      <c r="K277" s="346">
        <v>1</v>
      </c>
      <c r="L277" s="347"/>
      <c r="M277" s="348">
        <f>K277</f>
        <v>1</v>
      </c>
      <c r="N277" s="349"/>
      <c r="O277" s="347"/>
      <c r="P277" s="394">
        <f t="shared" si="76"/>
        <v>1</v>
      </c>
    </row>
    <row r="278" spans="1:16" s="121" customFormat="1" ht="25.5" customHeight="1" x14ac:dyDescent="0.25">
      <c r="A278" s="78"/>
      <c r="B278" s="78"/>
      <c r="C278" s="647"/>
      <c r="D278" s="80"/>
      <c r="E278" s="341" t="s">
        <v>49</v>
      </c>
      <c r="F278" s="566">
        <v>318733.33</v>
      </c>
      <c r="G278" s="452">
        <v>44776</v>
      </c>
      <c r="H278" s="90"/>
      <c r="I278" s="344" t="s">
        <v>122</v>
      </c>
      <c r="J278" s="362" t="s">
        <v>121</v>
      </c>
      <c r="K278" s="346">
        <v>1</v>
      </c>
      <c r="L278" s="347"/>
      <c r="M278" s="348">
        <f t="shared" ref="M278:M291" si="77">K278</f>
        <v>1</v>
      </c>
      <c r="N278" s="585"/>
      <c r="O278" s="347"/>
      <c r="P278" s="394">
        <f t="shared" si="76"/>
        <v>1</v>
      </c>
    </row>
    <row r="279" spans="1:16" s="121" customFormat="1" ht="25.5" customHeight="1" x14ac:dyDescent="0.25">
      <c r="A279" s="78"/>
      <c r="B279" s="78"/>
      <c r="C279" s="647"/>
      <c r="D279" s="80"/>
      <c r="E279" s="611" t="s">
        <v>49</v>
      </c>
      <c r="F279" s="673"/>
      <c r="G279" s="613">
        <v>45077</v>
      </c>
      <c r="H279" s="90"/>
      <c r="I279" s="604" t="s">
        <v>285</v>
      </c>
      <c r="J279" s="605" t="s">
        <v>286</v>
      </c>
      <c r="K279" s="606">
        <v>1</v>
      </c>
      <c r="L279" s="607"/>
      <c r="M279" s="608">
        <f t="shared" si="77"/>
        <v>1</v>
      </c>
      <c r="N279" s="609"/>
      <c r="O279" s="607"/>
      <c r="P279" s="610">
        <f t="shared" si="76"/>
        <v>1</v>
      </c>
    </row>
    <row r="280" spans="1:16" s="121" customFormat="1" ht="25.5" customHeight="1" x14ac:dyDescent="0.25">
      <c r="A280" s="78"/>
      <c r="B280" s="78"/>
      <c r="C280" s="647"/>
      <c r="D280" s="80"/>
      <c r="E280" s="611" t="s">
        <v>49</v>
      </c>
      <c r="F280" s="673"/>
      <c r="G280" s="613">
        <v>45077</v>
      </c>
      <c r="H280" s="90"/>
      <c r="I280" s="604" t="s">
        <v>287</v>
      </c>
      <c r="J280" s="605" t="s">
        <v>529</v>
      </c>
      <c r="K280" s="606">
        <v>1</v>
      </c>
      <c r="L280" s="607"/>
      <c r="M280" s="608">
        <f t="shared" si="77"/>
        <v>1</v>
      </c>
      <c r="N280" s="609"/>
      <c r="O280" s="607"/>
      <c r="P280" s="610">
        <f t="shared" si="76"/>
        <v>1</v>
      </c>
    </row>
    <row r="281" spans="1:16" s="121" customFormat="1" ht="23.25" customHeight="1" x14ac:dyDescent="0.25">
      <c r="A281" s="78"/>
      <c r="B281" s="78"/>
      <c r="C281" s="647"/>
      <c r="D281" s="350"/>
      <c r="E281" s="341" t="s">
        <v>49</v>
      </c>
      <c r="F281" s="566">
        <v>547847.63</v>
      </c>
      <c r="G281" s="452">
        <v>44706</v>
      </c>
      <c r="H281" s="90"/>
      <c r="I281" s="344" t="s">
        <v>108</v>
      </c>
      <c r="J281" s="362" t="s">
        <v>107</v>
      </c>
      <c r="K281" s="346">
        <v>1</v>
      </c>
      <c r="L281" s="347"/>
      <c r="M281" s="348">
        <f t="shared" si="77"/>
        <v>1</v>
      </c>
      <c r="N281" s="487"/>
      <c r="O281" s="347"/>
      <c r="P281" s="394">
        <f t="shared" si="76"/>
        <v>1</v>
      </c>
    </row>
    <row r="282" spans="1:16" s="121" customFormat="1" ht="23.25" customHeight="1" x14ac:dyDescent="0.25">
      <c r="A282" s="78"/>
      <c r="B282" s="78"/>
      <c r="C282" s="647"/>
      <c r="D282" s="504"/>
      <c r="E282" s="341" t="s">
        <v>667</v>
      </c>
      <c r="F282" s="674"/>
      <c r="G282" s="505">
        <v>45341</v>
      </c>
      <c r="H282" s="64"/>
      <c r="I282" s="344" t="s">
        <v>784</v>
      </c>
      <c r="J282" s="362" t="s">
        <v>783</v>
      </c>
      <c r="K282" s="346">
        <v>1</v>
      </c>
      <c r="L282" s="506"/>
      <c r="M282" s="348">
        <f t="shared" si="77"/>
        <v>1</v>
      </c>
      <c r="N282" s="487"/>
      <c r="O282" s="347"/>
      <c r="P282" s="394">
        <f t="shared" si="76"/>
        <v>1</v>
      </c>
    </row>
    <row r="283" spans="1:16" s="121" customFormat="1" ht="23.25" customHeight="1" x14ac:dyDescent="0.25">
      <c r="A283" s="78"/>
      <c r="B283" s="78"/>
      <c r="C283" s="647"/>
      <c r="D283" s="504"/>
      <c r="E283" s="341" t="s">
        <v>667</v>
      </c>
      <c r="F283" s="674"/>
      <c r="G283" s="505">
        <v>45281</v>
      </c>
      <c r="H283" s="64"/>
      <c r="I283" s="344" t="s">
        <v>668</v>
      </c>
      <c r="J283" s="362" t="s">
        <v>669</v>
      </c>
      <c r="K283" s="346">
        <v>92</v>
      </c>
      <c r="L283" s="506"/>
      <c r="M283" s="348">
        <f t="shared" si="77"/>
        <v>92</v>
      </c>
      <c r="N283" s="487">
        <v>24</v>
      </c>
      <c r="O283" s="347"/>
      <c r="P283" s="394">
        <f t="shared" si="76"/>
        <v>68</v>
      </c>
    </row>
    <row r="284" spans="1:16" s="121" customFormat="1" ht="23.25" customHeight="1" x14ac:dyDescent="0.25">
      <c r="A284" s="78"/>
      <c r="B284" s="78"/>
      <c r="C284" s="647"/>
      <c r="D284" s="504"/>
      <c r="E284" s="341" t="s">
        <v>701</v>
      </c>
      <c r="F284" s="674"/>
      <c r="G284" s="505">
        <v>45306</v>
      </c>
      <c r="H284" s="64"/>
      <c r="I284" s="344" t="s">
        <v>704</v>
      </c>
      <c r="J284" s="362" t="s">
        <v>702</v>
      </c>
      <c r="K284" s="346">
        <v>1</v>
      </c>
      <c r="L284" s="506"/>
      <c r="M284" s="348">
        <f t="shared" si="77"/>
        <v>1</v>
      </c>
      <c r="N284" s="487"/>
      <c r="O284" s="347"/>
      <c r="P284" s="394">
        <f t="shared" si="76"/>
        <v>1</v>
      </c>
    </row>
    <row r="285" spans="1:16" s="121" customFormat="1" ht="23.25" customHeight="1" x14ac:dyDescent="0.25">
      <c r="A285" s="78"/>
      <c r="B285" s="78"/>
      <c r="C285" s="647"/>
      <c r="D285" s="504"/>
      <c r="E285" s="341" t="s">
        <v>701</v>
      </c>
      <c r="F285" s="674"/>
      <c r="G285" s="505">
        <v>45306</v>
      </c>
      <c r="H285" s="64"/>
      <c r="I285" s="344" t="s">
        <v>705</v>
      </c>
      <c r="J285" s="362" t="s">
        <v>703</v>
      </c>
      <c r="K285" s="346">
        <v>1</v>
      </c>
      <c r="L285" s="506"/>
      <c r="M285" s="348">
        <f t="shared" si="77"/>
        <v>1</v>
      </c>
      <c r="N285" s="487"/>
      <c r="O285" s="347"/>
      <c r="P285" s="394">
        <f t="shared" si="76"/>
        <v>1</v>
      </c>
    </row>
    <row r="286" spans="1:16" s="121" customFormat="1" ht="23.25" customHeight="1" x14ac:dyDescent="0.25">
      <c r="A286" s="78"/>
      <c r="B286" s="78"/>
      <c r="C286" s="647"/>
      <c r="D286" s="504"/>
      <c r="E286" s="341" t="s">
        <v>706</v>
      </c>
      <c r="F286" s="674"/>
      <c r="G286" s="505">
        <v>45306</v>
      </c>
      <c r="H286" s="64"/>
      <c r="I286" s="344" t="s">
        <v>710</v>
      </c>
      <c r="J286" s="362" t="s">
        <v>707</v>
      </c>
      <c r="K286" s="346">
        <v>3</v>
      </c>
      <c r="L286" s="506"/>
      <c r="M286" s="348">
        <f t="shared" si="77"/>
        <v>3</v>
      </c>
      <c r="N286" s="487"/>
      <c r="O286" s="347"/>
      <c r="P286" s="394">
        <f t="shared" si="76"/>
        <v>3</v>
      </c>
    </row>
    <row r="287" spans="1:16" s="121" customFormat="1" ht="23.25" customHeight="1" x14ac:dyDescent="0.25">
      <c r="A287" s="78"/>
      <c r="B287" s="78"/>
      <c r="C287" s="647"/>
      <c r="D287" s="504"/>
      <c r="E287" s="341" t="s">
        <v>706</v>
      </c>
      <c r="F287" s="674"/>
      <c r="G287" s="505">
        <v>45306</v>
      </c>
      <c r="H287" s="64"/>
      <c r="I287" s="344" t="s">
        <v>711</v>
      </c>
      <c r="J287" s="362" t="s">
        <v>708</v>
      </c>
      <c r="K287" s="346">
        <v>4</v>
      </c>
      <c r="L287" s="506"/>
      <c r="M287" s="348">
        <f t="shared" si="77"/>
        <v>4</v>
      </c>
      <c r="N287" s="487"/>
      <c r="O287" s="347"/>
      <c r="P287" s="394">
        <f t="shared" si="76"/>
        <v>4</v>
      </c>
    </row>
    <row r="288" spans="1:16" s="121" customFormat="1" ht="23.25" customHeight="1" x14ac:dyDescent="0.25">
      <c r="A288" s="78"/>
      <c r="B288" s="78"/>
      <c r="C288" s="647"/>
      <c r="D288" s="504"/>
      <c r="E288" s="341" t="s">
        <v>706</v>
      </c>
      <c r="F288" s="674"/>
      <c r="G288" s="505">
        <v>45306</v>
      </c>
      <c r="H288" s="64"/>
      <c r="I288" s="344" t="s">
        <v>712</v>
      </c>
      <c r="J288" s="362" t="s">
        <v>709</v>
      </c>
      <c r="K288" s="346">
        <v>1</v>
      </c>
      <c r="L288" s="506"/>
      <c r="M288" s="348">
        <f t="shared" si="77"/>
        <v>1</v>
      </c>
      <c r="N288" s="487"/>
      <c r="O288" s="347"/>
      <c r="P288" s="394">
        <f t="shared" si="76"/>
        <v>1</v>
      </c>
    </row>
    <row r="289" spans="1:16" s="121" customFormat="1" ht="27.75" customHeight="1" x14ac:dyDescent="0.25">
      <c r="A289" s="78"/>
      <c r="B289" s="78"/>
      <c r="C289" s="647"/>
      <c r="D289" s="504"/>
      <c r="E289" s="341" t="s">
        <v>49</v>
      </c>
      <c r="F289" s="674">
        <v>282465.37</v>
      </c>
      <c r="G289" s="505">
        <v>45085</v>
      </c>
      <c r="H289" s="64"/>
      <c r="I289" s="344" t="s">
        <v>283</v>
      </c>
      <c r="J289" s="362" t="s">
        <v>282</v>
      </c>
      <c r="K289" s="346">
        <v>1</v>
      </c>
      <c r="L289" s="506"/>
      <c r="M289" s="348">
        <f t="shared" si="77"/>
        <v>1</v>
      </c>
      <c r="N289" s="487"/>
      <c r="O289" s="347"/>
      <c r="P289" s="394">
        <f t="shared" si="76"/>
        <v>1</v>
      </c>
    </row>
    <row r="290" spans="1:16" s="121" customFormat="1" ht="23.25" customHeight="1" x14ac:dyDescent="0.25">
      <c r="A290" s="78"/>
      <c r="B290" s="78"/>
      <c r="C290" s="647"/>
      <c r="D290" s="504"/>
      <c r="E290" s="341" t="s">
        <v>49</v>
      </c>
      <c r="F290" s="674">
        <v>30022.07</v>
      </c>
      <c r="G290" s="505">
        <v>45058</v>
      </c>
      <c r="H290" s="64"/>
      <c r="I290" s="344" t="s">
        <v>271</v>
      </c>
      <c r="J290" s="362" t="s">
        <v>272</v>
      </c>
      <c r="K290" s="346">
        <v>1</v>
      </c>
      <c r="L290" s="506"/>
      <c r="M290" s="348">
        <f t="shared" si="77"/>
        <v>1</v>
      </c>
      <c r="N290" s="487"/>
      <c r="O290" s="347"/>
      <c r="P290" s="394">
        <f t="shared" si="76"/>
        <v>1</v>
      </c>
    </row>
    <row r="291" spans="1:16" s="121" customFormat="1" ht="19.5" customHeight="1" x14ac:dyDescent="0.25">
      <c r="A291" s="162"/>
      <c r="B291" s="162"/>
      <c r="C291" s="648"/>
      <c r="D291" s="253"/>
      <c r="E291" s="492" t="s">
        <v>49</v>
      </c>
      <c r="F291" s="675">
        <v>155538.71</v>
      </c>
      <c r="G291" s="494">
        <v>43508</v>
      </c>
      <c r="H291" s="495"/>
      <c r="I291" s="496" t="s">
        <v>57</v>
      </c>
      <c r="J291" s="497" t="s">
        <v>58</v>
      </c>
      <c r="K291" s="498">
        <v>1</v>
      </c>
      <c r="L291" s="499"/>
      <c r="M291" s="500">
        <f t="shared" si="77"/>
        <v>1</v>
      </c>
      <c r="N291" s="501"/>
      <c r="O291" s="499"/>
      <c r="P291" s="502">
        <f t="shared" si="76"/>
        <v>1</v>
      </c>
    </row>
    <row r="292" spans="1:16" s="154" customFormat="1" ht="22.65" customHeight="1" x14ac:dyDescent="0.25">
      <c r="A292" s="491" t="s">
        <v>47</v>
      </c>
      <c r="B292" s="381"/>
      <c r="C292" s="387"/>
      <c r="D292" s="383"/>
      <c r="E292" s="383"/>
      <c r="F292" s="676">
        <f>SUM(F274:F291)</f>
        <v>4341496.63</v>
      </c>
      <c r="G292" s="384"/>
      <c r="H292" s="370"/>
      <c r="I292" s="385"/>
      <c r="J292" s="386"/>
      <c r="K292" s="387"/>
      <c r="L292" s="152"/>
      <c r="M292" s="389"/>
      <c r="N292" s="388"/>
      <c r="O292" s="152"/>
      <c r="P292" s="389"/>
    </row>
    <row r="293" spans="1:16" s="195" customFormat="1" ht="21" customHeight="1" x14ac:dyDescent="0.25">
      <c r="A293" s="185" t="s">
        <v>23</v>
      </c>
      <c r="B293" s="186"/>
      <c r="C293" s="192"/>
      <c r="D293" s="188"/>
      <c r="E293" s="188"/>
      <c r="F293" s="576">
        <f>F216+F212+F200+F124+F93+F12+F292+F272+F248+F217+F30</f>
        <v>10589306.969999999</v>
      </c>
      <c r="G293" s="189"/>
      <c r="H293" s="371"/>
      <c r="I293" s="191"/>
      <c r="J293" s="186"/>
      <c r="K293" s="192">
        <f>SUM(K13:K292)</f>
        <v>1237</v>
      </c>
      <c r="L293" s="194"/>
      <c r="M293" s="192">
        <f>SUM(M13:M292)</f>
        <v>1209</v>
      </c>
      <c r="N293" s="533">
        <f>SUM(N13:N292)</f>
        <v>460</v>
      </c>
      <c r="O293" s="194"/>
      <c r="P293" s="192">
        <f>SUM(P13:P292)</f>
        <v>750</v>
      </c>
    </row>
    <row r="294" spans="1:16" s="40" customFormat="1" ht="23.25" hidden="1" customHeight="1" x14ac:dyDescent="0.3">
      <c r="A294" s="196" t="s">
        <v>4</v>
      </c>
      <c r="B294" s="36"/>
      <c r="C294" s="638"/>
      <c r="D294" s="38"/>
      <c r="E294" s="38"/>
      <c r="F294" s="39"/>
      <c r="G294" s="39"/>
      <c r="H294" s="197"/>
      <c r="I294" s="198"/>
      <c r="J294" s="156"/>
      <c r="K294" s="157"/>
      <c r="L294" s="197"/>
      <c r="M294" s="158"/>
      <c r="N294" s="158"/>
      <c r="O294" s="197"/>
      <c r="P294" s="158"/>
    </row>
    <row r="295" spans="1:16" s="40" customFormat="1" ht="23.25" hidden="1" customHeight="1" x14ac:dyDescent="0.3">
      <c r="A295" s="199" t="s">
        <v>6</v>
      </c>
      <c r="B295" s="200"/>
      <c r="C295" s="645"/>
      <c r="D295" s="38"/>
      <c r="E295" s="38"/>
      <c r="F295" s="39"/>
      <c r="G295" s="39"/>
      <c r="H295" s="202"/>
      <c r="I295" s="203"/>
      <c r="J295" s="156"/>
      <c r="K295" s="204"/>
      <c r="L295" s="155"/>
      <c r="M295" s="159"/>
      <c r="N295" s="159"/>
      <c r="O295" s="155"/>
      <c r="P295" s="159"/>
    </row>
    <row r="296" spans="1:16" s="9" customFormat="1" ht="16.5" hidden="1" customHeight="1" x14ac:dyDescent="0.25">
      <c r="A296" s="97"/>
      <c r="B296" s="96" t="s">
        <v>36</v>
      </c>
      <c r="C296" s="642"/>
      <c r="D296" s="98"/>
      <c r="E296" s="99"/>
      <c r="F296" s="100"/>
      <c r="G296" s="101"/>
      <c r="H296" s="102"/>
      <c r="I296" s="103"/>
      <c r="J296" s="105"/>
      <c r="K296" s="106"/>
      <c r="L296" s="53"/>
      <c r="M296" s="54"/>
      <c r="N296" s="55"/>
      <c r="O296" s="53"/>
      <c r="P296" s="54"/>
    </row>
    <row r="297" spans="1:16" s="121" customFormat="1" ht="24.75" hidden="1" customHeight="1" x14ac:dyDescent="0.25">
      <c r="A297" s="116"/>
      <c r="B297" s="117"/>
      <c r="C297" s="808"/>
      <c r="D297" s="73"/>
      <c r="E297" s="92"/>
      <c r="F297" s="82"/>
      <c r="G297" s="83"/>
      <c r="H297" s="134"/>
      <c r="I297" s="118"/>
      <c r="J297" s="205"/>
      <c r="K297" s="120"/>
      <c r="L297" s="135"/>
      <c r="M297" s="87">
        <f>K297</f>
        <v>0</v>
      </c>
      <c r="N297" s="136" t="e">
        <f>#REF!</f>
        <v>#REF!</v>
      </c>
      <c r="O297" s="135"/>
      <c r="P297" s="69" t="e">
        <f>K297-N297</f>
        <v>#REF!</v>
      </c>
    </row>
    <row r="298" spans="1:16" s="121" customFormat="1" ht="30.75" hidden="1" customHeight="1" x14ac:dyDescent="0.25">
      <c r="A298" s="162"/>
      <c r="B298" s="163"/>
      <c r="C298" s="809"/>
      <c r="D298" s="422"/>
      <c r="E298" s="92"/>
      <c r="F298" s="93"/>
      <c r="G298" s="206"/>
      <c r="H298" s="134"/>
      <c r="I298" s="95"/>
      <c r="J298" s="207"/>
      <c r="K298" s="353"/>
      <c r="L298" s="135"/>
      <c r="M298" s="137">
        <f>K298</f>
        <v>0</v>
      </c>
      <c r="N298" s="136" t="e">
        <f>#REF!</f>
        <v>#REF!</v>
      </c>
      <c r="O298" s="135"/>
      <c r="P298" s="137" t="e">
        <f>K298-N298</f>
        <v>#REF!</v>
      </c>
    </row>
    <row r="299" spans="1:16" s="56" customFormat="1" ht="15" hidden="1" x14ac:dyDescent="0.25">
      <c r="A299" s="41"/>
      <c r="B299" s="42" t="s">
        <v>27</v>
      </c>
      <c r="C299" s="639"/>
      <c r="D299" s="44"/>
      <c r="E299" s="45"/>
      <c r="F299" s="46"/>
      <c r="G299" s="47"/>
      <c r="H299" s="48"/>
      <c r="I299" s="49"/>
      <c r="J299" s="50"/>
      <c r="K299" s="51"/>
      <c r="L299" s="53"/>
      <c r="M299" s="54"/>
      <c r="N299" s="55"/>
      <c r="O299" s="53"/>
      <c r="P299" s="54"/>
    </row>
    <row r="300" spans="1:16" s="9" customFormat="1" ht="13.2" hidden="1" x14ac:dyDescent="0.25">
      <c r="A300" s="57"/>
      <c r="B300" s="58"/>
      <c r="C300" s="649"/>
      <c r="D300" s="60"/>
      <c r="E300" s="107"/>
      <c r="F300" s="82"/>
      <c r="G300" s="83"/>
      <c r="H300" s="114"/>
      <c r="I300" s="65"/>
      <c r="J300" s="66"/>
      <c r="K300" s="67"/>
      <c r="L300" s="115"/>
      <c r="M300" s="71">
        <f>K300</f>
        <v>0</v>
      </c>
      <c r="N300" s="70" t="e">
        <f>#REF!</f>
        <v>#REF!</v>
      </c>
      <c r="O300" s="115"/>
      <c r="P300" s="71" t="e">
        <f>K300-N300</f>
        <v>#REF!</v>
      </c>
    </row>
    <row r="301" spans="1:16" s="9" customFormat="1" ht="16.5" hidden="1" customHeight="1" x14ac:dyDescent="0.25">
      <c r="A301" s="97"/>
      <c r="B301" s="96" t="s">
        <v>28</v>
      </c>
      <c r="C301" s="642"/>
      <c r="D301" s="98"/>
      <c r="E301" s="99"/>
      <c r="F301" s="100"/>
      <c r="G301" s="101"/>
      <c r="H301" s="102"/>
      <c r="I301" s="103"/>
      <c r="J301" s="105"/>
      <c r="K301" s="106"/>
      <c r="L301" s="53"/>
      <c r="M301" s="54"/>
      <c r="N301" s="55"/>
      <c r="O301" s="53"/>
      <c r="P301" s="54"/>
    </row>
    <row r="302" spans="1:16" s="9" customFormat="1" ht="13.2" hidden="1" x14ac:dyDescent="0.25">
      <c r="A302" s="57"/>
      <c r="B302" s="58"/>
      <c r="C302" s="650"/>
      <c r="D302" s="60"/>
      <c r="E302" s="61"/>
      <c r="F302" s="62"/>
      <c r="G302" s="63"/>
      <c r="H302" s="64"/>
      <c r="I302" s="65"/>
      <c r="J302" s="209"/>
      <c r="K302" s="67"/>
      <c r="L302" s="68"/>
      <c r="M302" s="71">
        <f>K302</f>
        <v>0</v>
      </c>
      <c r="N302" s="160" t="e">
        <f>#REF!</f>
        <v>#REF!</v>
      </c>
      <c r="O302" s="68"/>
      <c r="P302" s="71" t="e">
        <f>K302-N302</f>
        <v>#REF!</v>
      </c>
    </row>
    <row r="303" spans="1:16" s="9" customFormat="1" ht="16.5" hidden="1" customHeight="1" x14ac:dyDescent="0.25">
      <c r="A303" s="97"/>
      <c r="B303" s="96" t="s">
        <v>30</v>
      </c>
      <c r="C303" s="642"/>
      <c r="D303" s="98"/>
      <c r="E303" s="99"/>
      <c r="F303" s="100"/>
      <c r="G303" s="101"/>
      <c r="H303" s="102"/>
      <c r="I303" s="103"/>
      <c r="J303" s="105"/>
      <c r="K303" s="106"/>
      <c r="L303" s="53"/>
      <c r="M303" s="54"/>
      <c r="N303" s="55"/>
      <c r="O303" s="53"/>
      <c r="P303" s="54"/>
    </row>
    <row r="304" spans="1:16" s="9" customFormat="1" ht="13.2" hidden="1" x14ac:dyDescent="0.25">
      <c r="A304" s="57"/>
      <c r="B304" s="58"/>
      <c r="C304" s="650"/>
      <c r="D304" s="60"/>
      <c r="E304" s="61"/>
      <c r="F304" s="62"/>
      <c r="G304" s="63"/>
      <c r="H304" s="114"/>
      <c r="I304" s="65"/>
      <c r="J304" s="210"/>
      <c r="K304" s="67"/>
      <c r="L304" s="68"/>
      <c r="M304" s="71"/>
      <c r="N304" s="160"/>
      <c r="O304" s="68"/>
      <c r="P304" s="71">
        <f>K304-N304</f>
        <v>0</v>
      </c>
    </row>
    <row r="305" spans="1:16" s="9" customFormat="1" ht="16.5" hidden="1" customHeight="1" x14ac:dyDescent="0.25">
      <c r="A305" s="97"/>
      <c r="B305" s="96" t="s">
        <v>31</v>
      </c>
      <c r="C305" s="642"/>
      <c r="D305" s="98"/>
      <c r="E305" s="99"/>
      <c r="F305" s="100"/>
      <c r="G305" s="101"/>
      <c r="H305" s="102"/>
      <c r="I305" s="103"/>
      <c r="J305" s="105"/>
      <c r="K305" s="106"/>
      <c r="L305" s="53"/>
      <c r="M305" s="54"/>
      <c r="N305" s="55"/>
      <c r="O305" s="53"/>
      <c r="P305" s="54"/>
    </row>
    <row r="306" spans="1:16" s="9" customFormat="1" ht="50.25" hidden="1" customHeight="1" x14ac:dyDescent="0.25">
      <c r="A306" s="57"/>
      <c r="B306" s="58"/>
      <c r="C306" s="650"/>
      <c r="D306" s="60"/>
      <c r="E306" s="61"/>
      <c r="F306" s="62"/>
      <c r="G306" s="211"/>
      <c r="H306" s="173"/>
      <c r="I306" s="212"/>
      <c r="J306" s="213"/>
      <c r="K306" s="214"/>
      <c r="L306" s="68"/>
      <c r="M306" s="71"/>
      <c r="N306" s="160" t="e">
        <f>#REF!</f>
        <v>#REF!</v>
      </c>
      <c r="O306" s="68"/>
      <c r="P306" s="71" t="e">
        <f>K306-N306</f>
        <v>#REF!</v>
      </c>
    </row>
    <row r="307" spans="1:16" s="9" customFormat="1" ht="15" hidden="1" x14ac:dyDescent="0.25">
      <c r="A307" s="97"/>
      <c r="B307" s="96" t="s">
        <v>35</v>
      </c>
      <c r="C307" s="642"/>
      <c r="D307" s="215"/>
      <c r="E307" s="105"/>
      <c r="F307" s="100"/>
      <c r="G307" s="216"/>
      <c r="H307" s="217"/>
      <c r="I307" s="218"/>
      <c r="J307" s="219"/>
      <c r="K307" s="220"/>
      <c r="L307" s="221"/>
      <c r="M307" s="222"/>
      <c r="N307" s="222"/>
      <c r="O307" s="221"/>
      <c r="P307" s="222"/>
    </row>
    <row r="308" spans="1:16" s="121" customFormat="1" ht="30.75" hidden="1" customHeight="1" x14ac:dyDescent="0.25">
      <c r="A308" s="89"/>
      <c r="B308" s="223"/>
      <c r="C308" s="651"/>
      <c r="D308" s="426"/>
      <c r="E308" s="92"/>
      <c r="F308" s="82"/>
      <c r="G308" s="94"/>
      <c r="H308" s="134"/>
      <c r="I308" s="84"/>
      <c r="J308" s="85"/>
      <c r="K308" s="86"/>
      <c r="L308" s="135"/>
      <c r="M308" s="87">
        <f>K308</f>
        <v>0</v>
      </c>
      <c r="N308" s="136" t="e">
        <f>#REF!</f>
        <v>#REF!</v>
      </c>
      <c r="O308" s="135"/>
      <c r="P308" s="137" t="e">
        <f>K308-N308</f>
        <v>#REF!</v>
      </c>
    </row>
    <row r="309" spans="1:16" s="9" customFormat="1" ht="16.5" hidden="1" customHeight="1" x14ac:dyDescent="0.25">
      <c r="A309" s="97"/>
      <c r="B309" s="96"/>
      <c r="C309" s="642" t="s">
        <v>29</v>
      </c>
      <c r="D309" s="98"/>
      <c r="E309" s="99"/>
      <c r="F309" s="100"/>
      <c r="G309" s="101"/>
      <c r="H309" s="102"/>
      <c r="I309" s="103"/>
      <c r="J309" s="105"/>
      <c r="K309" s="106"/>
      <c r="L309" s="53"/>
      <c r="M309" s="54"/>
      <c r="N309" s="55"/>
      <c r="O309" s="53"/>
      <c r="P309" s="54"/>
    </row>
    <row r="310" spans="1:16" s="121" customFormat="1" ht="24.75" hidden="1" customHeight="1" x14ac:dyDescent="0.25">
      <c r="A310" s="224"/>
      <c r="B310" s="225"/>
      <c r="C310" s="652"/>
      <c r="D310" s="227"/>
      <c r="E310" s="92"/>
      <c r="F310" s="82"/>
      <c r="G310" s="83"/>
      <c r="H310" s="134"/>
      <c r="I310" s="118"/>
      <c r="J310" s="119"/>
      <c r="K310" s="120"/>
      <c r="L310" s="127"/>
      <c r="M310" s="128">
        <f>K310</f>
        <v>0</v>
      </c>
      <c r="N310" s="129"/>
      <c r="O310" s="127"/>
      <c r="P310" s="228">
        <f>K310-N310</f>
        <v>0</v>
      </c>
    </row>
    <row r="311" spans="1:16" s="110" customFormat="1" ht="21" hidden="1" customHeight="1" x14ac:dyDescent="0.25">
      <c r="A311" s="229"/>
      <c r="B311" s="230"/>
      <c r="C311" s="652"/>
      <c r="D311" s="231"/>
      <c r="E311" s="414"/>
      <c r="F311" s="232"/>
      <c r="G311" s="231"/>
      <c r="H311" s="233"/>
      <c r="I311" s="234"/>
      <c r="J311" s="235"/>
      <c r="K311" s="236"/>
      <c r="L311" s="237"/>
      <c r="M311" s="128">
        <f>K311</f>
        <v>0</v>
      </c>
      <c r="N311" s="129"/>
      <c r="O311" s="237"/>
      <c r="P311" s="128"/>
    </row>
    <row r="312" spans="1:16" s="154" customFormat="1" ht="22.65" hidden="1" customHeight="1" collapsed="1" x14ac:dyDescent="0.25">
      <c r="A312" s="143" t="s">
        <v>2</v>
      </c>
      <c r="B312" s="144"/>
      <c r="C312" s="150"/>
      <c r="D312" s="146"/>
      <c r="E312" s="146"/>
      <c r="F312" s="147"/>
      <c r="G312" s="147"/>
      <c r="H312" s="148"/>
      <c r="I312" s="149"/>
      <c r="J312" s="184"/>
      <c r="K312" s="150"/>
      <c r="L312" s="152"/>
      <c r="M312" s="151"/>
      <c r="N312" s="151"/>
      <c r="O312" s="152"/>
      <c r="P312" s="151"/>
    </row>
    <row r="313" spans="1:16" s="40" customFormat="1" ht="23.25" hidden="1" customHeight="1" x14ac:dyDescent="0.3">
      <c r="A313" s="35" t="s">
        <v>7</v>
      </c>
      <c r="B313" s="36"/>
      <c r="C313" s="638"/>
      <c r="D313" s="38"/>
      <c r="E313" s="38"/>
      <c r="F313" s="39"/>
      <c r="G313" s="39"/>
      <c r="H313" s="197"/>
      <c r="I313" s="198"/>
      <c r="J313" s="156"/>
      <c r="K313" s="157"/>
      <c r="L313" s="155"/>
      <c r="M313" s="158"/>
      <c r="N313" s="158"/>
      <c r="O313" s="155"/>
      <c r="P313" s="158"/>
    </row>
    <row r="314" spans="1:16" s="40" customFormat="1" ht="23.25" hidden="1" customHeight="1" x14ac:dyDescent="0.3">
      <c r="A314" s="238"/>
      <c r="B314" s="239" t="s">
        <v>8</v>
      </c>
      <c r="C314" s="653"/>
      <c r="D314" s="241"/>
      <c r="E314" s="242"/>
      <c r="F314" s="243"/>
      <c r="G314" s="244"/>
      <c r="H314" s="245"/>
      <c r="I314" s="246"/>
      <c r="J314" s="247"/>
      <c r="K314" s="248"/>
      <c r="L314" s="249"/>
      <c r="M314" s="250"/>
      <c r="N314" s="251"/>
      <c r="O314" s="249"/>
      <c r="P314" s="250"/>
    </row>
    <row r="315" spans="1:16" s="121" customFormat="1" ht="52.5" hidden="1" customHeight="1" x14ac:dyDescent="0.25">
      <c r="A315" s="162"/>
      <c r="B315" s="163"/>
      <c r="C315" s="648"/>
      <c r="D315" s="253"/>
      <c r="E315" s="81"/>
      <c r="F315" s="82"/>
      <c r="G315" s="83"/>
      <c r="H315" s="134"/>
      <c r="I315" s="84"/>
      <c r="J315" s="85"/>
      <c r="K315" s="86"/>
      <c r="L315" s="135"/>
      <c r="M315" s="87">
        <f>K315</f>
        <v>0</v>
      </c>
      <c r="N315" s="160" t="e">
        <f>#REF!</f>
        <v>#REF!</v>
      </c>
      <c r="O315" s="135"/>
      <c r="P315" s="87" t="e">
        <f>K315-N315</f>
        <v>#REF!</v>
      </c>
    </row>
    <row r="316" spans="1:16" s="56" customFormat="1" ht="15" hidden="1" x14ac:dyDescent="0.25">
      <c r="A316" s="41"/>
      <c r="B316" s="96" t="s">
        <v>32</v>
      </c>
      <c r="C316" s="642"/>
      <c r="D316" s="44"/>
      <c r="E316" s="45"/>
      <c r="F316" s="46"/>
      <c r="G316" s="47"/>
      <c r="H316" s="48"/>
      <c r="I316" s="49"/>
      <c r="J316" s="50"/>
      <c r="K316" s="51"/>
      <c r="L316" s="53"/>
      <c r="M316" s="54"/>
      <c r="N316" s="55"/>
      <c r="O316" s="53"/>
      <c r="P316" s="54"/>
    </row>
    <row r="317" spans="1:16" s="121" customFormat="1" ht="13.2" hidden="1" x14ac:dyDescent="0.25">
      <c r="A317" s="116"/>
      <c r="B317" s="117"/>
      <c r="C317" s="654"/>
      <c r="D317" s="73"/>
      <c r="E317" s="254"/>
      <c r="F317" s="170"/>
      <c r="G317" s="83"/>
      <c r="H317" s="134"/>
      <c r="I317" s="118"/>
      <c r="J317" s="119"/>
      <c r="K317" s="120"/>
      <c r="L317" s="91"/>
      <c r="M317" s="87">
        <f>K317</f>
        <v>0</v>
      </c>
      <c r="N317" s="88"/>
      <c r="O317" s="91"/>
      <c r="P317" s="87">
        <f>K317-N317</f>
        <v>0</v>
      </c>
    </row>
    <row r="318" spans="1:16" s="9" customFormat="1" ht="15.75" hidden="1" customHeight="1" x14ac:dyDescent="0.25">
      <c r="A318" s="255"/>
      <c r="B318" s="256"/>
      <c r="C318" s="647"/>
      <c r="D318" s="426"/>
      <c r="E318" s="92"/>
      <c r="F318" s="93"/>
      <c r="G318" s="257"/>
      <c r="H318" s="114"/>
      <c r="I318" s="95"/>
      <c r="J318" s="207"/>
      <c r="K318" s="372"/>
      <c r="L318" s="135"/>
      <c r="M318" s="87">
        <f>K318</f>
        <v>0</v>
      </c>
      <c r="N318" s="88" t="e">
        <f>#REF!</f>
        <v>#REF!</v>
      </c>
      <c r="O318" s="135"/>
      <c r="P318" s="87" t="e">
        <f>K318-N318</f>
        <v>#REF!</v>
      </c>
    </row>
    <row r="319" spans="1:16" s="56" customFormat="1" ht="15.75" hidden="1" customHeight="1" x14ac:dyDescent="0.25">
      <c r="A319" s="41"/>
      <c r="B319" s="96" t="s">
        <v>34</v>
      </c>
      <c r="C319" s="642"/>
      <c r="D319" s="222"/>
      <c r="E319" s="50"/>
      <c r="F319" s="46"/>
      <c r="G319" s="47"/>
      <c r="H319" s="258"/>
      <c r="I319" s="49"/>
      <c r="J319" s="259"/>
      <c r="K319" s="51"/>
      <c r="L319" s="221"/>
      <c r="M319" s="222"/>
      <c r="N319" s="222"/>
      <c r="O319" s="221"/>
      <c r="P319" s="222"/>
    </row>
    <row r="320" spans="1:16" s="121" customFormat="1" ht="28.5" hidden="1" customHeight="1" x14ac:dyDescent="0.25">
      <c r="A320" s="116"/>
      <c r="B320" s="117"/>
      <c r="C320" s="654"/>
      <c r="D320" s="73"/>
      <c r="E320" s="254"/>
      <c r="F320" s="82"/>
      <c r="G320" s="83"/>
      <c r="H320" s="134"/>
      <c r="I320" s="118"/>
      <c r="J320" s="119"/>
      <c r="K320" s="120"/>
      <c r="L320" s="135"/>
      <c r="M320" s="87">
        <f>K320</f>
        <v>0</v>
      </c>
      <c r="N320" s="181" t="e">
        <f>#REF!</f>
        <v>#REF!</v>
      </c>
      <c r="O320" s="135"/>
      <c r="P320" s="87" t="e">
        <f>K320-N320</f>
        <v>#REF!</v>
      </c>
    </row>
    <row r="321" spans="1:16" s="56" customFormat="1" ht="15" hidden="1" x14ac:dyDescent="0.25">
      <c r="A321" s="41"/>
      <c r="B321" s="96" t="s">
        <v>33</v>
      </c>
      <c r="C321" s="642"/>
      <c r="D321" s="44"/>
      <c r="E321" s="45"/>
      <c r="F321" s="46"/>
      <c r="G321" s="47"/>
      <c r="H321" s="48"/>
      <c r="I321" s="49"/>
      <c r="J321" s="50"/>
      <c r="K321" s="51"/>
      <c r="L321" s="53"/>
      <c r="M321" s="54"/>
      <c r="N321" s="55"/>
      <c r="O321" s="53"/>
      <c r="P321" s="54"/>
    </row>
    <row r="322" spans="1:16" s="121" customFormat="1" ht="13.2" hidden="1" x14ac:dyDescent="0.25">
      <c r="A322" s="116"/>
      <c r="B322" s="117"/>
      <c r="C322" s="655"/>
      <c r="D322" s="73"/>
      <c r="E322" s="254"/>
      <c r="F322" s="170"/>
      <c r="G322" s="172"/>
      <c r="H322" s="260"/>
      <c r="I322" s="75"/>
      <c r="J322" s="76"/>
      <c r="K322" s="261"/>
      <c r="L322" s="91"/>
      <c r="M322" s="87">
        <f>K322</f>
        <v>0</v>
      </c>
      <c r="N322" s="88"/>
      <c r="O322" s="91"/>
      <c r="P322" s="87">
        <f>K322-N322</f>
        <v>0</v>
      </c>
    </row>
    <row r="323" spans="1:16" s="180" customFormat="1" ht="15.75" hidden="1" customHeight="1" x14ac:dyDescent="0.25">
      <c r="A323" s="262"/>
      <c r="B323" s="263"/>
      <c r="C323" s="656"/>
      <c r="D323" s="123"/>
      <c r="E323" s="265"/>
      <c r="F323" s="138"/>
      <c r="G323" s="165"/>
      <c r="H323" s="166"/>
      <c r="I323" s="109"/>
      <c r="J323" s="125"/>
      <c r="K323" s="266"/>
      <c r="L323" s="127"/>
      <c r="M323" s="128">
        <f>K323</f>
        <v>0</v>
      </c>
      <c r="N323" s="179" t="e">
        <f>#REF!</f>
        <v>#REF!</v>
      </c>
      <c r="O323" s="127"/>
      <c r="P323" s="128" t="e">
        <f>K323-N323</f>
        <v>#REF!</v>
      </c>
    </row>
    <row r="324" spans="1:16" s="56" customFormat="1" ht="15" hidden="1" x14ac:dyDescent="0.25">
      <c r="A324" s="41"/>
      <c r="B324" s="96" t="s">
        <v>5</v>
      </c>
      <c r="C324" s="642"/>
      <c r="D324" s="44"/>
      <c r="E324" s="45"/>
      <c r="F324" s="46"/>
      <c r="G324" s="47"/>
      <c r="H324" s="48"/>
      <c r="I324" s="49"/>
      <c r="J324" s="50"/>
      <c r="K324" s="51"/>
      <c r="L324" s="53"/>
      <c r="M324" s="54"/>
      <c r="N324" s="55"/>
      <c r="O324" s="53"/>
      <c r="P324" s="54"/>
    </row>
    <row r="325" spans="1:16" s="131" customFormat="1" ht="13.2" hidden="1" x14ac:dyDescent="0.25">
      <c r="A325" s="267"/>
      <c r="B325" s="268"/>
      <c r="C325" s="657"/>
      <c r="D325" s="270"/>
      <c r="E325" s="271"/>
      <c r="F325" s="138"/>
      <c r="G325" s="165"/>
      <c r="H325" s="124"/>
      <c r="I325" s="272"/>
      <c r="J325" s="273"/>
      <c r="K325" s="274"/>
      <c r="L325" s="127"/>
      <c r="M325" s="128">
        <f>K325</f>
        <v>0</v>
      </c>
      <c r="N325" s="179"/>
      <c r="O325" s="127"/>
      <c r="P325" s="128">
        <f>K325-N325</f>
        <v>0</v>
      </c>
    </row>
    <row r="326" spans="1:16" s="9" customFormat="1" ht="15.75" hidden="1" customHeight="1" x14ac:dyDescent="0.25">
      <c r="A326" s="255"/>
      <c r="B326" s="256"/>
      <c r="C326" s="647"/>
      <c r="D326" s="426"/>
      <c r="E326" s="92"/>
      <c r="F326" s="93"/>
      <c r="G326" s="257"/>
      <c r="H326" s="114"/>
      <c r="I326" s="95"/>
      <c r="J326" s="207"/>
      <c r="K326" s="372"/>
      <c r="L326" s="135"/>
      <c r="M326" s="87">
        <f>K326</f>
        <v>0</v>
      </c>
      <c r="N326" s="88" t="e">
        <f>#REF!</f>
        <v>#REF!</v>
      </c>
      <c r="O326" s="135"/>
      <c r="P326" s="87" t="e">
        <f>K326-N326</f>
        <v>#REF!</v>
      </c>
    </row>
    <row r="327" spans="1:16" s="56" customFormat="1" ht="15.75" hidden="1" customHeight="1" x14ac:dyDescent="0.25">
      <c r="A327" s="41"/>
      <c r="B327" s="42" t="s">
        <v>19</v>
      </c>
      <c r="C327" s="639"/>
      <c r="D327" s="44"/>
      <c r="E327" s="45"/>
      <c r="F327" s="46"/>
      <c r="G327" s="47"/>
      <c r="H327" s="48"/>
      <c r="I327" s="49"/>
      <c r="J327" s="50"/>
      <c r="K327" s="51"/>
      <c r="L327" s="53"/>
      <c r="M327" s="54"/>
      <c r="N327" s="55"/>
      <c r="O327" s="53"/>
      <c r="P327" s="54"/>
    </row>
    <row r="328" spans="1:16" s="121" customFormat="1" ht="41.25" hidden="1" customHeight="1" x14ac:dyDescent="0.25">
      <c r="A328" s="78"/>
      <c r="B328" s="79"/>
      <c r="C328" s="658"/>
      <c r="D328" s="80"/>
      <c r="E328" s="81"/>
      <c r="F328" s="82"/>
      <c r="G328" s="83"/>
      <c r="H328" s="134"/>
      <c r="I328" s="84"/>
      <c r="J328" s="85"/>
      <c r="K328" s="86"/>
      <c r="L328" s="135"/>
      <c r="M328" s="87">
        <f t="shared" ref="M328:M348" si="78">K328</f>
        <v>0</v>
      </c>
      <c r="N328" s="160" t="e">
        <f>#REF!</f>
        <v>#REF!</v>
      </c>
      <c r="O328" s="135"/>
      <c r="P328" s="87" t="e">
        <f t="shared" ref="P328:P351" si="79">K328-N328</f>
        <v>#REF!</v>
      </c>
    </row>
    <row r="329" spans="1:16" s="121" customFormat="1" ht="29.25" hidden="1" customHeight="1" x14ac:dyDescent="0.25">
      <c r="A329" s="78"/>
      <c r="B329" s="79"/>
      <c r="C329" s="658"/>
      <c r="D329" s="80"/>
      <c r="E329" s="81"/>
      <c r="F329" s="82"/>
      <c r="G329" s="83"/>
      <c r="H329" s="134"/>
      <c r="I329" s="174"/>
      <c r="J329" s="85"/>
      <c r="K329" s="86"/>
      <c r="L329" s="135"/>
      <c r="M329" s="87">
        <f t="shared" si="78"/>
        <v>0</v>
      </c>
      <c r="N329" s="88" t="e">
        <f>#REF!</f>
        <v>#REF!</v>
      </c>
      <c r="O329" s="135"/>
      <c r="P329" s="87" t="e">
        <f t="shared" si="79"/>
        <v>#REF!</v>
      </c>
    </row>
    <row r="330" spans="1:16" s="9" customFormat="1" ht="13.2" hidden="1" x14ac:dyDescent="0.25">
      <c r="A330" s="78"/>
      <c r="B330" s="79"/>
      <c r="D330" s="80"/>
      <c r="E330" s="81"/>
      <c r="F330" s="82"/>
      <c r="G330" s="83"/>
      <c r="H330" s="114"/>
      <c r="I330" s="84"/>
      <c r="J330" s="85"/>
      <c r="K330" s="86"/>
      <c r="L330" s="115"/>
      <c r="M330" s="87">
        <f t="shared" si="78"/>
        <v>0</v>
      </c>
      <c r="N330" s="88" t="e">
        <f>#REF!</f>
        <v>#REF!</v>
      </c>
      <c r="O330" s="115"/>
      <c r="P330" s="87" t="e">
        <f t="shared" si="79"/>
        <v>#REF!</v>
      </c>
    </row>
    <row r="331" spans="1:16" s="180" customFormat="1" ht="13.2" hidden="1" x14ac:dyDescent="0.25">
      <c r="A331" s="122"/>
      <c r="B331" s="176"/>
      <c r="C331" s="276"/>
      <c r="D331" s="177"/>
      <c r="E331" s="178"/>
      <c r="F331" s="138"/>
      <c r="G331" s="165"/>
      <c r="H331" s="166"/>
      <c r="I331" s="167"/>
      <c r="J331" s="168"/>
      <c r="K331" s="126"/>
      <c r="L331" s="169"/>
      <c r="M331" s="128">
        <f t="shared" si="78"/>
        <v>0</v>
      </c>
      <c r="N331" s="179" t="e">
        <f>#REF!</f>
        <v>#REF!</v>
      </c>
      <c r="O331" s="169"/>
      <c r="P331" s="128" t="e">
        <f t="shared" si="79"/>
        <v>#REF!</v>
      </c>
    </row>
    <row r="332" spans="1:16" s="180" customFormat="1" ht="36.9" hidden="1" customHeight="1" x14ac:dyDescent="0.25">
      <c r="A332" s="122"/>
      <c r="B332" s="176"/>
      <c r="C332" s="276"/>
      <c r="D332" s="177"/>
      <c r="E332" s="178"/>
      <c r="F332" s="138"/>
      <c r="G332" s="165"/>
      <c r="H332" s="166"/>
      <c r="I332" s="167"/>
      <c r="J332" s="168"/>
      <c r="K332" s="126"/>
      <c r="L332" s="169"/>
      <c r="M332" s="128">
        <f t="shared" si="78"/>
        <v>0</v>
      </c>
      <c r="N332" s="179" t="e">
        <f>#REF!</f>
        <v>#REF!</v>
      </c>
      <c r="O332" s="169"/>
      <c r="P332" s="128" t="e">
        <f t="shared" si="79"/>
        <v>#REF!</v>
      </c>
    </row>
    <row r="333" spans="1:16" s="9" customFormat="1" ht="36.9" hidden="1" customHeight="1" x14ac:dyDescent="0.25">
      <c r="A333" s="78"/>
      <c r="B333" s="79"/>
      <c r="C333" s="658"/>
      <c r="D333" s="80"/>
      <c r="E333" s="81"/>
      <c r="F333" s="170"/>
      <c r="G333" s="172"/>
      <c r="H333" s="173"/>
      <c r="I333" s="174"/>
      <c r="J333" s="171"/>
      <c r="K333" s="175"/>
      <c r="L333" s="68"/>
      <c r="M333" s="87">
        <f t="shared" si="78"/>
        <v>0</v>
      </c>
      <c r="N333" s="88" t="e">
        <f>#REF!</f>
        <v>#REF!</v>
      </c>
      <c r="O333" s="68"/>
      <c r="P333" s="87" t="e">
        <f t="shared" si="79"/>
        <v>#REF!</v>
      </c>
    </row>
    <row r="334" spans="1:16" s="9" customFormat="1" ht="36.9" hidden="1" customHeight="1" x14ac:dyDescent="0.25">
      <c r="A334" s="78"/>
      <c r="B334" s="79"/>
      <c r="C334" s="658"/>
      <c r="D334" s="80"/>
      <c r="E334" s="81"/>
      <c r="F334" s="170"/>
      <c r="G334" s="172"/>
      <c r="H334" s="173"/>
      <c r="I334" s="174"/>
      <c r="J334" s="171"/>
      <c r="K334" s="175"/>
      <c r="L334" s="68"/>
      <c r="M334" s="87">
        <f t="shared" si="78"/>
        <v>0</v>
      </c>
      <c r="N334" s="88" t="e">
        <f>#REF!</f>
        <v>#REF!</v>
      </c>
      <c r="O334" s="68"/>
      <c r="P334" s="87" t="e">
        <f t="shared" si="79"/>
        <v>#REF!</v>
      </c>
    </row>
    <row r="335" spans="1:16" s="9" customFormat="1" ht="36.9" hidden="1" customHeight="1" x14ac:dyDescent="0.25">
      <c r="A335" s="78"/>
      <c r="B335" s="79"/>
      <c r="C335" s="658"/>
      <c r="D335" s="80"/>
      <c r="E335" s="81"/>
      <c r="F335" s="82"/>
      <c r="G335" s="83"/>
      <c r="H335" s="114"/>
      <c r="I335" s="84"/>
      <c r="J335" s="85"/>
      <c r="K335" s="86"/>
      <c r="L335" s="115"/>
      <c r="M335" s="87">
        <f t="shared" si="78"/>
        <v>0</v>
      </c>
      <c r="N335" s="160" t="e">
        <f>#REF!</f>
        <v>#REF!</v>
      </c>
      <c r="O335" s="115"/>
      <c r="P335" s="87" t="e">
        <f t="shared" si="79"/>
        <v>#REF!</v>
      </c>
    </row>
    <row r="336" spans="1:16" s="9" customFormat="1" ht="26.25" hidden="1" customHeight="1" x14ac:dyDescent="0.25">
      <c r="A336" s="78"/>
      <c r="B336" s="79"/>
      <c r="C336" s="658"/>
      <c r="D336" s="80"/>
      <c r="E336" s="81"/>
      <c r="F336" s="82"/>
      <c r="G336" s="83"/>
      <c r="H336" s="114"/>
      <c r="I336" s="84"/>
      <c r="J336" s="85"/>
      <c r="K336" s="86"/>
      <c r="L336" s="115"/>
      <c r="M336" s="87">
        <f t="shared" si="78"/>
        <v>0</v>
      </c>
      <c r="N336" s="88" t="e">
        <f>#REF!</f>
        <v>#REF!</v>
      </c>
      <c r="O336" s="68"/>
      <c r="P336" s="87" t="e">
        <f t="shared" si="79"/>
        <v>#REF!</v>
      </c>
    </row>
    <row r="337" spans="1:16" s="180" customFormat="1" ht="26.25" hidden="1" customHeight="1" x14ac:dyDescent="0.25">
      <c r="A337" s="122"/>
      <c r="B337" s="176"/>
      <c r="C337" s="659"/>
      <c r="D337" s="177"/>
      <c r="E337" s="178"/>
      <c r="F337" s="138"/>
      <c r="G337" s="165"/>
      <c r="H337" s="166"/>
      <c r="I337" s="84"/>
      <c r="J337" s="85"/>
      <c r="K337" s="86"/>
      <c r="L337" s="169"/>
      <c r="M337" s="128">
        <f t="shared" si="78"/>
        <v>0</v>
      </c>
      <c r="N337" s="160" t="e">
        <f>#REF!</f>
        <v>#REF!</v>
      </c>
      <c r="O337" s="169"/>
      <c r="P337" s="128" t="e">
        <f t="shared" si="79"/>
        <v>#REF!</v>
      </c>
    </row>
    <row r="338" spans="1:16" s="180" customFormat="1" ht="26.25" hidden="1" customHeight="1" x14ac:dyDescent="0.25">
      <c r="A338" s="122"/>
      <c r="B338" s="176"/>
      <c r="C338" s="276"/>
      <c r="D338" s="177"/>
      <c r="E338" s="178"/>
      <c r="F338" s="138"/>
      <c r="G338" s="165"/>
      <c r="H338" s="166"/>
      <c r="I338" s="84"/>
      <c r="J338" s="85"/>
      <c r="K338" s="86"/>
      <c r="L338" s="169"/>
      <c r="M338" s="128">
        <f t="shared" si="78"/>
        <v>0</v>
      </c>
      <c r="N338" s="160" t="e">
        <f>#REF!</f>
        <v>#REF!</v>
      </c>
      <c r="O338" s="169"/>
      <c r="P338" s="128" t="e">
        <f t="shared" si="79"/>
        <v>#REF!</v>
      </c>
    </row>
    <row r="339" spans="1:16" s="9" customFormat="1" ht="26.25" hidden="1" customHeight="1" x14ac:dyDescent="0.25">
      <c r="A339" s="78"/>
      <c r="B339" s="79"/>
      <c r="C339" s="647"/>
      <c r="D339" s="80"/>
      <c r="E339" s="81"/>
      <c r="F339" s="82"/>
      <c r="G339" s="83"/>
      <c r="H339" s="114"/>
      <c r="I339" s="84"/>
      <c r="J339" s="85"/>
      <c r="K339" s="86"/>
      <c r="L339" s="115"/>
      <c r="M339" s="87">
        <f t="shared" si="78"/>
        <v>0</v>
      </c>
      <c r="N339" s="181" t="e">
        <f>#REF!</f>
        <v>#REF!</v>
      </c>
      <c r="O339" s="68"/>
      <c r="P339" s="87" t="e">
        <f t="shared" si="79"/>
        <v>#REF!</v>
      </c>
    </row>
    <row r="340" spans="1:16" s="180" customFormat="1" ht="26.25" hidden="1" customHeight="1" x14ac:dyDescent="0.25">
      <c r="A340" s="122"/>
      <c r="B340" s="176"/>
      <c r="C340" s="276"/>
      <c r="D340" s="177"/>
      <c r="E340" s="178"/>
      <c r="F340" s="138"/>
      <c r="G340" s="165"/>
      <c r="H340" s="166"/>
      <c r="I340" s="167"/>
      <c r="J340" s="168"/>
      <c r="K340" s="126"/>
      <c r="L340" s="169"/>
      <c r="M340" s="128">
        <f t="shared" si="78"/>
        <v>0</v>
      </c>
      <c r="N340" s="179" t="e">
        <f>#REF!</f>
        <v>#REF!</v>
      </c>
      <c r="O340" s="169"/>
      <c r="P340" s="128" t="e">
        <f t="shared" si="79"/>
        <v>#REF!</v>
      </c>
    </row>
    <row r="341" spans="1:16" s="9" customFormat="1" ht="26.25" hidden="1" customHeight="1" x14ac:dyDescent="0.25">
      <c r="A341" s="78"/>
      <c r="B341" s="79"/>
      <c r="C341" s="647"/>
      <c r="D341" s="80"/>
      <c r="E341" s="81"/>
      <c r="F341" s="278"/>
      <c r="G341" s="83"/>
      <c r="H341" s="114"/>
      <c r="I341" s="174"/>
      <c r="J341" s="171"/>
      <c r="K341" s="86"/>
      <c r="L341" s="115"/>
      <c r="M341" s="87">
        <f t="shared" si="78"/>
        <v>0</v>
      </c>
      <c r="N341" s="88" t="e">
        <f>#REF!</f>
        <v>#REF!</v>
      </c>
      <c r="O341" s="68"/>
      <c r="P341" s="87" t="e">
        <f t="shared" si="79"/>
        <v>#REF!</v>
      </c>
    </row>
    <row r="342" spans="1:16" s="9" customFormat="1" ht="26.25" hidden="1" customHeight="1" x14ac:dyDescent="0.25">
      <c r="A342" s="78"/>
      <c r="B342" s="79"/>
      <c r="C342" s="647"/>
      <c r="D342" s="80"/>
      <c r="E342" s="81"/>
      <c r="F342" s="278"/>
      <c r="G342" s="83"/>
      <c r="H342" s="114"/>
      <c r="I342" s="174"/>
      <c r="J342" s="279"/>
      <c r="K342" s="86"/>
      <c r="L342" s="115"/>
      <c r="M342" s="87">
        <f t="shared" si="78"/>
        <v>0</v>
      </c>
      <c r="N342" s="88" t="e">
        <f>#REF!</f>
        <v>#REF!</v>
      </c>
      <c r="O342" s="68"/>
      <c r="P342" s="87" t="e">
        <f t="shared" si="79"/>
        <v>#REF!</v>
      </c>
    </row>
    <row r="343" spans="1:16" s="180" customFormat="1" ht="26.25" hidden="1" customHeight="1" x14ac:dyDescent="0.25">
      <c r="A343" s="122"/>
      <c r="B343" s="176"/>
      <c r="C343" s="276"/>
      <c r="D343" s="177"/>
      <c r="E343" s="178"/>
      <c r="F343" s="280"/>
      <c r="G343" s="165"/>
      <c r="H343" s="166"/>
      <c r="I343" s="167"/>
      <c r="J343" s="281"/>
      <c r="K343" s="126"/>
      <c r="L343" s="169"/>
      <c r="M343" s="128">
        <f t="shared" si="78"/>
        <v>0</v>
      </c>
      <c r="N343" s="179" t="e">
        <f>#REF!</f>
        <v>#REF!</v>
      </c>
      <c r="O343" s="169"/>
      <c r="P343" s="128" t="e">
        <f t="shared" si="79"/>
        <v>#REF!</v>
      </c>
    </row>
    <row r="344" spans="1:16" s="9" customFormat="1" ht="43.5" hidden="1" customHeight="1" x14ac:dyDescent="0.25">
      <c r="A344" s="78"/>
      <c r="B344" s="79"/>
      <c r="C344" s="647"/>
      <c r="D344" s="80"/>
      <c r="E344" s="81"/>
      <c r="F344" s="278"/>
      <c r="G344" s="83"/>
      <c r="H344" s="114"/>
      <c r="I344" s="84"/>
      <c r="J344" s="282"/>
      <c r="K344" s="86"/>
      <c r="L344" s="115"/>
      <c r="M344" s="87">
        <f t="shared" si="78"/>
        <v>0</v>
      </c>
      <c r="N344" s="88" t="e">
        <f>#REF!</f>
        <v>#REF!</v>
      </c>
      <c r="O344" s="115"/>
      <c r="P344" s="87" t="e">
        <f t="shared" si="79"/>
        <v>#REF!</v>
      </c>
    </row>
    <row r="345" spans="1:16" s="9" customFormat="1" ht="31.65" hidden="1" customHeight="1" x14ac:dyDescent="0.25">
      <c r="A345" s="78"/>
      <c r="B345" s="79"/>
      <c r="C345" s="647"/>
      <c r="D345" s="80"/>
      <c r="E345" s="81"/>
      <c r="F345" s="278"/>
      <c r="G345" s="83"/>
      <c r="H345" s="114"/>
      <c r="I345" s="174"/>
      <c r="J345" s="279"/>
      <c r="K345" s="86"/>
      <c r="L345" s="115"/>
      <c r="M345" s="87">
        <f t="shared" si="78"/>
        <v>0</v>
      </c>
      <c r="N345" s="88" t="e">
        <f>#REF!</f>
        <v>#REF!</v>
      </c>
      <c r="O345" s="68"/>
      <c r="P345" s="87" t="e">
        <f t="shared" si="79"/>
        <v>#REF!</v>
      </c>
    </row>
    <row r="346" spans="1:16" s="9" customFormat="1" ht="32.25" hidden="1" customHeight="1" x14ac:dyDescent="0.25">
      <c r="A346" s="78"/>
      <c r="B346" s="79"/>
      <c r="C346" s="647"/>
      <c r="D346" s="80"/>
      <c r="E346" s="81"/>
      <c r="F346" s="82"/>
      <c r="G346" s="83"/>
      <c r="H346" s="114"/>
      <c r="I346" s="174"/>
      <c r="J346" s="171"/>
      <c r="K346" s="86"/>
      <c r="L346" s="115"/>
      <c r="M346" s="87">
        <f t="shared" si="78"/>
        <v>0</v>
      </c>
      <c r="N346" s="88" t="e">
        <f>#REF!</f>
        <v>#REF!</v>
      </c>
      <c r="O346" s="68"/>
      <c r="P346" s="87" t="e">
        <f t="shared" si="79"/>
        <v>#REF!</v>
      </c>
    </row>
    <row r="347" spans="1:16" s="9" customFormat="1" ht="26.25" hidden="1" customHeight="1" x14ac:dyDescent="0.25">
      <c r="A347" s="78"/>
      <c r="B347" s="79"/>
      <c r="C347" s="658"/>
      <c r="D347" s="80"/>
      <c r="E347" s="81"/>
      <c r="F347" s="82"/>
      <c r="G347" s="283"/>
      <c r="H347" s="114"/>
      <c r="I347" s="174"/>
      <c r="J347" s="171"/>
      <c r="K347" s="86"/>
      <c r="L347" s="115"/>
      <c r="M347" s="87">
        <f t="shared" si="78"/>
        <v>0</v>
      </c>
      <c r="N347" s="88" t="e">
        <f>#REF!</f>
        <v>#REF!</v>
      </c>
      <c r="O347" s="68"/>
      <c r="P347" s="87" t="e">
        <f t="shared" si="79"/>
        <v>#REF!</v>
      </c>
    </row>
    <row r="348" spans="1:16" s="9" customFormat="1" ht="26.25" hidden="1" customHeight="1" x14ac:dyDescent="0.25">
      <c r="A348" s="78"/>
      <c r="B348" s="79"/>
      <c r="C348" s="647"/>
      <c r="D348" s="80"/>
      <c r="E348" s="81"/>
      <c r="F348" s="82"/>
      <c r="G348" s="80"/>
      <c r="H348" s="114"/>
      <c r="I348" s="174"/>
      <c r="J348" s="171"/>
      <c r="K348" s="86"/>
      <c r="L348" s="115"/>
      <c r="M348" s="87">
        <f t="shared" si="78"/>
        <v>0</v>
      </c>
      <c r="N348" s="88" t="e">
        <f>#REF!</f>
        <v>#REF!</v>
      </c>
      <c r="O348" s="68"/>
      <c r="P348" s="87" t="e">
        <f t="shared" si="79"/>
        <v>#REF!</v>
      </c>
    </row>
    <row r="349" spans="1:16" s="9" customFormat="1" ht="26.25" hidden="1" customHeight="1" x14ac:dyDescent="0.25">
      <c r="A349" s="78"/>
      <c r="B349" s="79"/>
      <c r="C349" s="647"/>
      <c r="D349" s="80"/>
      <c r="E349" s="81"/>
      <c r="F349" s="82"/>
      <c r="G349" s="80"/>
      <c r="H349" s="114"/>
      <c r="I349" s="174"/>
      <c r="J349" s="171"/>
      <c r="K349" s="86"/>
      <c r="L349" s="115"/>
      <c r="M349" s="87"/>
      <c r="N349" s="88" t="e">
        <f>#REF!</f>
        <v>#REF!</v>
      </c>
      <c r="O349" s="68"/>
      <c r="P349" s="87" t="e">
        <f t="shared" si="79"/>
        <v>#REF!</v>
      </c>
    </row>
    <row r="350" spans="1:16" s="9" customFormat="1" ht="26.25" hidden="1" customHeight="1" x14ac:dyDescent="0.25">
      <c r="A350" s="78"/>
      <c r="B350" s="79"/>
      <c r="C350" s="647"/>
      <c r="D350" s="80"/>
      <c r="E350" s="81"/>
      <c r="F350" s="82"/>
      <c r="G350" s="80"/>
      <c r="H350" s="114"/>
      <c r="I350" s="174"/>
      <c r="J350" s="171"/>
      <c r="K350" s="86"/>
      <c r="L350" s="115"/>
      <c r="M350" s="87"/>
      <c r="N350" s="88" t="e">
        <f>#REF!</f>
        <v>#REF!</v>
      </c>
      <c r="O350" s="68"/>
      <c r="P350" s="87" t="e">
        <f t="shared" si="79"/>
        <v>#REF!</v>
      </c>
    </row>
    <row r="351" spans="1:16" s="9" customFormat="1" ht="26.25" hidden="1" customHeight="1" x14ac:dyDescent="0.25">
      <c r="A351" s="78"/>
      <c r="B351" s="79"/>
      <c r="C351" s="647"/>
      <c r="D351" s="80"/>
      <c r="E351" s="81"/>
      <c r="F351" s="82"/>
      <c r="G351" s="80"/>
      <c r="H351" s="114"/>
      <c r="I351" s="174"/>
      <c r="J351" s="171"/>
      <c r="K351" s="86"/>
      <c r="L351" s="115"/>
      <c r="M351" s="87"/>
      <c r="N351" s="88" t="e">
        <f>#REF!</f>
        <v>#REF!</v>
      </c>
      <c r="O351" s="68"/>
      <c r="P351" s="87" t="e">
        <f t="shared" si="79"/>
        <v>#REF!</v>
      </c>
    </row>
    <row r="352" spans="1:16" s="56" customFormat="1" ht="26.25" hidden="1" customHeight="1" x14ac:dyDescent="0.25">
      <c r="A352" s="41"/>
      <c r="B352" s="96" t="s">
        <v>37</v>
      </c>
      <c r="C352" s="642"/>
      <c r="D352" s="222"/>
      <c r="E352" s="50"/>
      <c r="F352" s="46"/>
      <c r="G352" s="47"/>
      <c r="H352" s="258"/>
      <c r="I352" s="284"/>
      <c r="J352" s="285"/>
      <c r="K352" s="51"/>
      <c r="L352" s="221"/>
      <c r="M352" s="222"/>
      <c r="N352" s="222"/>
      <c r="O352" s="221"/>
      <c r="P352" s="222"/>
    </row>
    <row r="353" spans="1:16" s="121" customFormat="1" ht="26.25" hidden="1" customHeight="1" x14ac:dyDescent="0.25">
      <c r="A353" s="116"/>
      <c r="B353" s="117"/>
      <c r="C353" s="654"/>
      <c r="D353" s="73"/>
      <c r="E353" s="254"/>
      <c r="F353" s="170"/>
      <c r="G353" s="83"/>
      <c r="H353" s="134"/>
      <c r="I353" s="75"/>
      <c r="J353" s="76"/>
      <c r="K353" s="120"/>
      <c r="L353" s="91"/>
      <c r="M353" s="87">
        <f>K353</f>
        <v>0</v>
      </c>
      <c r="N353" s="88"/>
      <c r="O353" s="91"/>
      <c r="P353" s="87">
        <f>K353-N353</f>
        <v>0</v>
      </c>
    </row>
    <row r="354" spans="1:16" s="296" customFormat="1" ht="26.25" hidden="1" customHeight="1" x14ac:dyDescent="0.25">
      <c r="A354" s="286"/>
      <c r="B354" s="287" t="s">
        <v>39</v>
      </c>
      <c r="C354" s="660"/>
      <c r="D354" s="288"/>
      <c r="E354" s="415"/>
      <c r="F354" s="289"/>
      <c r="G354" s="290"/>
      <c r="H354" s="291"/>
      <c r="I354" s="292"/>
      <c r="J354" s="293"/>
      <c r="K354" s="294"/>
      <c r="L354" s="295"/>
      <c r="M354" s="288"/>
      <c r="N354" s="288"/>
      <c r="O354" s="295"/>
      <c r="P354" s="288"/>
    </row>
    <row r="355" spans="1:16" s="121" customFormat="1" ht="26.25" hidden="1" customHeight="1" x14ac:dyDescent="0.25">
      <c r="A355" s="116"/>
      <c r="B355" s="117"/>
      <c r="C355" s="654"/>
      <c r="D355" s="73"/>
      <c r="E355" s="254"/>
      <c r="F355" s="297"/>
      <c r="G355" s="83"/>
      <c r="H355" s="134"/>
      <c r="I355" s="298"/>
      <c r="J355" s="299"/>
      <c r="K355" s="120"/>
      <c r="L355" s="91"/>
      <c r="M355" s="87">
        <f>K355</f>
        <v>0</v>
      </c>
      <c r="N355" s="88"/>
      <c r="O355" s="91"/>
      <c r="P355" s="87">
        <f>K355-N355</f>
        <v>0</v>
      </c>
    </row>
    <row r="356" spans="1:16" s="56" customFormat="1" ht="15" hidden="1" x14ac:dyDescent="0.25">
      <c r="A356" s="41"/>
      <c r="B356" s="96" t="s">
        <v>38</v>
      </c>
      <c r="C356" s="642"/>
      <c r="D356" s="44"/>
      <c r="E356" s="45"/>
      <c r="F356" s="46"/>
      <c r="G356" s="47"/>
      <c r="H356" s="48"/>
      <c r="I356" s="49"/>
      <c r="J356" s="50"/>
      <c r="K356" s="51"/>
      <c r="L356" s="53"/>
      <c r="M356" s="54"/>
      <c r="N356" s="55"/>
      <c r="O356" s="53"/>
      <c r="P356" s="54"/>
    </row>
    <row r="357" spans="1:16" s="121" customFormat="1" ht="15" hidden="1" x14ac:dyDescent="0.25">
      <c r="A357" s="116"/>
      <c r="B357" s="117"/>
      <c r="C357" s="661"/>
      <c r="D357" s="73"/>
      <c r="E357" s="81"/>
      <c r="F357" s="170"/>
      <c r="G357" s="172"/>
      <c r="H357" s="260"/>
      <c r="I357" s="301"/>
      <c r="J357" s="302"/>
      <c r="K357" s="303"/>
      <c r="L357" s="304"/>
      <c r="M357" s="87">
        <f>K357</f>
        <v>0</v>
      </c>
      <c r="N357" s="88"/>
      <c r="O357" s="91"/>
      <c r="P357" s="87">
        <f>K357-N357</f>
        <v>0</v>
      </c>
    </row>
    <row r="358" spans="1:16" s="9" customFormat="1" ht="15" hidden="1" x14ac:dyDescent="0.25">
      <c r="A358" s="255"/>
      <c r="B358" s="256"/>
      <c r="C358" s="662"/>
      <c r="D358" s="254"/>
      <c r="E358" s="81"/>
      <c r="F358" s="170"/>
      <c r="G358" s="172"/>
      <c r="H358" s="173"/>
      <c r="I358" s="301"/>
      <c r="J358" s="302"/>
      <c r="K358" s="303"/>
      <c r="L358" s="304"/>
      <c r="M358" s="87">
        <f>K358</f>
        <v>0</v>
      </c>
      <c r="N358" s="88"/>
      <c r="O358" s="91"/>
      <c r="P358" s="87">
        <f>K358-N358</f>
        <v>0</v>
      </c>
    </row>
    <row r="359" spans="1:16" s="9" customFormat="1" ht="13.2" hidden="1" x14ac:dyDescent="0.25">
      <c r="A359" s="255"/>
      <c r="B359" s="256"/>
      <c r="C359" s="663"/>
      <c r="D359" s="254"/>
      <c r="E359" s="74"/>
      <c r="F359" s="170"/>
      <c r="G359" s="172"/>
      <c r="H359" s="173"/>
      <c r="I359" s="301"/>
      <c r="J359" s="302"/>
      <c r="K359" s="303"/>
      <c r="L359" s="306"/>
      <c r="M359" s="87">
        <f>K359</f>
        <v>0</v>
      </c>
      <c r="N359" s="88"/>
      <c r="O359" s="91"/>
      <c r="P359" s="87">
        <f>K359-N359</f>
        <v>0</v>
      </c>
    </row>
    <row r="360" spans="1:16" s="9" customFormat="1" ht="13.2" hidden="1" x14ac:dyDescent="0.25">
      <c r="A360" s="255"/>
      <c r="B360" s="256"/>
      <c r="C360" s="663"/>
      <c r="D360" s="254"/>
      <c r="E360" s="74"/>
      <c r="F360" s="170"/>
      <c r="G360" s="172"/>
      <c r="H360" s="173"/>
      <c r="I360" s="301"/>
      <c r="J360" s="302"/>
      <c r="K360" s="303"/>
      <c r="L360" s="307"/>
      <c r="M360" s="87">
        <f>K360</f>
        <v>0</v>
      </c>
      <c r="N360" s="88"/>
      <c r="O360" s="91"/>
      <c r="P360" s="87">
        <f>K360-N360</f>
        <v>0</v>
      </c>
    </row>
    <row r="361" spans="1:16" s="180" customFormat="1" ht="27.9" hidden="1" customHeight="1" x14ac:dyDescent="0.25">
      <c r="A361" s="262"/>
      <c r="B361" s="263"/>
      <c r="C361" s="656"/>
      <c r="D361" s="308"/>
      <c r="E361" s="309"/>
      <c r="F361" s="310"/>
      <c r="G361" s="311"/>
      <c r="H361" s="166"/>
      <c r="I361" s="301"/>
      <c r="J361" s="302"/>
      <c r="K361" s="303"/>
      <c r="L361" s="169"/>
      <c r="M361" s="312">
        <f>K361</f>
        <v>0</v>
      </c>
      <c r="N361" s="313"/>
      <c r="O361" s="304"/>
      <c r="P361" s="312">
        <f>K361-N361</f>
        <v>0</v>
      </c>
    </row>
    <row r="362" spans="1:16" s="154" customFormat="1" ht="22.65" hidden="1" customHeight="1" collapsed="1" x14ac:dyDescent="0.25">
      <c r="A362" s="143" t="s">
        <v>3</v>
      </c>
      <c r="B362" s="144"/>
      <c r="C362" s="150"/>
      <c r="D362" s="146"/>
      <c r="E362" s="146"/>
      <c r="F362" s="147"/>
      <c r="G362" s="147"/>
      <c r="H362" s="148"/>
      <c r="I362" s="149"/>
      <c r="J362" s="184"/>
      <c r="K362" s="150"/>
      <c r="L362" s="152"/>
      <c r="M362" s="153"/>
      <c r="N362" s="153"/>
      <c r="O362" s="152"/>
      <c r="P362" s="153"/>
    </row>
    <row r="363" spans="1:16" s="40" customFormat="1" ht="23.25" hidden="1" customHeight="1" x14ac:dyDescent="0.3">
      <c r="A363" s="35" t="s">
        <v>11</v>
      </c>
      <c r="B363" s="36"/>
      <c r="C363" s="638"/>
      <c r="D363" s="38"/>
      <c r="E363" s="38"/>
      <c r="F363" s="39"/>
      <c r="G363" s="39"/>
      <c r="H363" s="155"/>
      <c r="J363" s="156"/>
      <c r="K363" s="157"/>
      <c r="L363" s="155"/>
      <c r="M363" s="158"/>
      <c r="N363" s="158"/>
      <c r="O363" s="155"/>
      <c r="P363" s="158"/>
    </row>
    <row r="364" spans="1:16" s="9" customFormat="1" ht="16.5" hidden="1" customHeight="1" x14ac:dyDescent="0.25">
      <c r="A364" s="97"/>
      <c r="B364" s="96"/>
      <c r="C364" s="642"/>
      <c r="D364" s="98"/>
      <c r="E364" s="99"/>
      <c r="F364" s="100"/>
      <c r="G364" s="101"/>
      <c r="H364" s="102"/>
      <c r="I364" s="103"/>
      <c r="J364" s="105"/>
      <c r="K364" s="106"/>
      <c r="L364" s="53"/>
      <c r="M364" s="54"/>
      <c r="N364" s="55"/>
      <c r="O364" s="53"/>
      <c r="P364" s="54"/>
    </row>
    <row r="365" spans="1:16" s="121" customFormat="1" ht="30.75" hidden="1" customHeight="1" x14ac:dyDescent="0.25">
      <c r="A365" s="78"/>
      <c r="B365" s="79"/>
      <c r="C365" s="664"/>
      <c r="D365" s="60"/>
      <c r="E365" s="107"/>
      <c r="F365" s="82"/>
      <c r="G365" s="83"/>
      <c r="H365" s="134"/>
      <c r="I365" s="84"/>
      <c r="J365" s="85"/>
      <c r="K365" s="86"/>
      <c r="L365" s="135"/>
      <c r="M365" s="87">
        <f>K365</f>
        <v>0</v>
      </c>
      <c r="N365" s="88" t="e">
        <f>#REF!</f>
        <v>#REF!</v>
      </c>
      <c r="O365" s="135"/>
      <c r="P365" s="87" t="e">
        <f>K365-N365</f>
        <v>#REF!</v>
      </c>
    </row>
    <row r="366" spans="1:16" s="154" customFormat="1" ht="22.65" hidden="1" customHeight="1" x14ac:dyDescent="0.25">
      <c r="A366" s="143" t="s">
        <v>21</v>
      </c>
      <c r="B366" s="144"/>
      <c r="C366" s="150"/>
      <c r="D366" s="146"/>
      <c r="E366" s="146"/>
      <c r="F366" s="147"/>
      <c r="G366" s="147"/>
      <c r="H366" s="148"/>
      <c r="I366" s="149"/>
      <c r="J366" s="184"/>
      <c r="K366" s="150"/>
      <c r="L366" s="152"/>
      <c r="M366" s="153"/>
      <c r="N366" s="151"/>
      <c r="O366" s="152"/>
      <c r="P366" s="153"/>
    </row>
    <row r="367" spans="1:16" s="195" customFormat="1" ht="21" hidden="1" customHeight="1" x14ac:dyDescent="0.25">
      <c r="A367" s="185" t="s">
        <v>24</v>
      </c>
      <c r="B367" s="186"/>
      <c r="C367" s="192"/>
      <c r="D367" s="188"/>
      <c r="E367" s="188"/>
      <c r="F367" s="189"/>
      <c r="G367" s="189"/>
      <c r="H367" s="190"/>
      <c r="I367" s="191"/>
      <c r="J367" s="186"/>
      <c r="K367" s="192"/>
      <c r="L367" s="194"/>
      <c r="M367" s="192"/>
      <c r="N367" s="193"/>
      <c r="O367" s="194"/>
      <c r="P367" s="192"/>
    </row>
    <row r="368" spans="1:16" s="195" customFormat="1" ht="27.9" hidden="1" customHeight="1" x14ac:dyDescent="0.25">
      <c r="A368" s="314" t="s">
        <v>25</v>
      </c>
      <c r="B368" s="315"/>
      <c r="C368" s="321"/>
      <c r="D368" s="317"/>
      <c r="E368" s="317"/>
      <c r="F368" s="318"/>
      <c r="G368" s="318"/>
      <c r="H368" s="319"/>
      <c r="I368" s="320"/>
      <c r="J368" s="315"/>
      <c r="K368" s="321"/>
      <c r="L368" s="194"/>
      <c r="M368" s="322">
        <f t="shared" ref="M368:N368" si="80">M367+M293</f>
        <v>1209</v>
      </c>
      <c r="N368" s="322">
        <f t="shared" si="80"/>
        <v>460</v>
      </c>
      <c r="O368" s="194"/>
      <c r="P368" s="322">
        <f>P367+P293</f>
        <v>750</v>
      </c>
    </row>
    <row r="369" spans="1:18" s="327" customFormat="1" ht="13.2" hidden="1" x14ac:dyDescent="0.25">
      <c r="A369" s="323"/>
      <c r="B369" s="323"/>
      <c r="C369" s="665"/>
      <c r="D369" s="325"/>
      <c r="E369" s="416"/>
      <c r="F369" s="325"/>
      <c r="G369" s="325"/>
      <c r="H369" s="326"/>
      <c r="J369" s="323"/>
      <c r="K369" s="323"/>
      <c r="L369" s="326"/>
      <c r="M369" s="323"/>
      <c r="N369" s="323"/>
      <c r="O369" s="326"/>
      <c r="P369" s="323"/>
    </row>
    <row r="370" spans="1:18" ht="22.65" hidden="1" customHeight="1" x14ac:dyDescent="0.25"/>
    <row r="371" spans="1:18" ht="22.65" hidden="1" customHeight="1" x14ac:dyDescent="0.25"/>
    <row r="373" spans="1:18" s="9" customFormat="1" ht="22.65" customHeight="1" x14ac:dyDescent="0.25">
      <c r="A373" s="2"/>
      <c r="B373" s="2"/>
      <c r="C373" s="8"/>
      <c r="D373" s="4"/>
      <c r="E373" s="4"/>
      <c r="F373" s="5"/>
      <c r="G373" s="5"/>
      <c r="H373" s="6"/>
      <c r="I373" s="7"/>
      <c r="J373" s="2"/>
      <c r="K373" s="8"/>
      <c r="L373" s="6"/>
      <c r="M373" s="8"/>
      <c r="N373" s="8"/>
      <c r="O373" s="6"/>
      <c r="P373" s="8"/>
      <c r="Q373" s="10"/>
    </row>
    <row r="374" spans="1:18" ht="22.65" customHeight="1" x14ac:dyDescent="0.25">
      <c r="R374" s="483" t="s">
        <v>93</v>
      </c>
    </row>
  </sheetData>
  <dataConsolidate/>
  <mergeCells count="40">
    <mergeCell ref="P7:P9"/>
    <mergeCell ref="A8:D9"/>
    <mergeCell ref="E8:E10"/>
    <mergeCell ref="I8:K8"/>
    <mergeCell ref="C297:C298"/>
    <mergeCell ref="C197:C198"/>
    <mergeCell ref="C223:C228"/>
    <mergeCell ref="C236:C238"/>
    <mergeCell ref="C137:C138"/>
    <mergeCell ref="C140:C142"/>
    <mergeCell ref="C151:C162"/>
    <mergeCell ref="C164:C167"/>
    <mergeCell ref="C168:C170"/>
    <mergeCell ref="C148:C149"/>
    <mergeCell ref="C47:C57"/>
    <mergeCell ref="C178:C180"/>
    <mergeCell ref="A7:L7"/>
    <mergeCell ref="M7:O8"/>
    <mergeCell ref="C28:C29"/>
    <mergeCell ref="C252:C271"/>
    <mergeCell ref="C61:C64"/>
    <mergeCell ref="C75:C76"/>
    <mergeCell ref="C87:C89"/>
    <mergeCell ref="C91:C92"/>
    <mergeCell ref="C103:C104"/>
    <mergeCell ref="C105:C113"/>
    <mergeCell ref="C114:C118"/>
    <mergeCell ref="C122:C123"/>
    <mergeCell ref="C135:C136"/>
    <mergeCell ref="C183:C184"/>
    <mergeCell ref="C171:C173"/>
    <mergeCell ref="B250:C250"/>
    <mergeCell ref="C229:C230"/>
    <mergeCell ref="I58:K58"/>
    <mergeCell ref="I217:K217"/>
    <mergeCell ref="D171:D173"/>
    <mergeCell ref="C35:C36"/>
    <mergeCell ref="C44:C45"/>
    <mergeCell ref="C128:C129"/>
    <mergeCell ref="C80:C85"/>
  </mergeCells>
  <printOptions horizontalCentered="1"/>
  <pageMargins left="0.25" right="0.25" top="0.75" bottom="0.75" header="0.3" footer="0.3"/>
  <pageSetup paperSize="9" scale="81" fitToHeight="0" orientation="landscape" r:id="rId1"/>
  <headerFooter>
    <oddHeader xml:space="preserve">&amp;R  </oddHeader>
    <oddFooter>&amp;R&amp;P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64"/>
  <sheetViews>
    <sheetView view="pageBreakPreview" topLeftCell="A4" zoomScale="95" zoomScaleNormal="80" zoomScaleSheetLayoutView="95" workbookViewId="0">
      <pane xSplit="2" ySplit="7" topLeftCell="C251" activePane="bottomRight" state="frozen"/>
      <selection activeCell="A4" sqref="A4"/>
      <selection pane="topRight" activeCell="C4" sqref="C4"/>
      <selection pane="bottomLeft" activeCell="A13" sqref="A13"/>
      <selection pane="bottomRight" activeCell="K256" sqref="K256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8" customWidth="1"/>
    <col min="4" max="4" width="12.44140625" style="4" customWidth="1"/>
    <col min="5" max="5" width="14.109375" style="4" customWidth="1"/>
    <col min="6" max="6" width="14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7" ht="13.2" x14ac:dyDescent="0.25">
      <c r="M1" s="9"/>
      <c r="N1" s="9"/>
      <c r="P1" s="9"/>
    </row>
    <row r="2" spans="1:17" ht="13.2" x14ac:dyDescent="0.25">
      <c r="M2" s="9"/>
      <c r="N2" s="9"/>
      <c r="P2" s="9"/>
    </row>
    <row r="3" spans="1:17" ht="13.2" x14ac:dyDescent="0.25">
      <c r="M3" s="9"/>
      <c r="N3" s="9"/>
      <c r="P3" s="9"/>
    </row>
    <row r="4" spans="1:17" s="17" customFormat="1" ht="29.25" customHeight="1" x14ac:dyDescent="0.4">
      <c r="A4" s="11"/>
      <c r="B4" s="11"/>
      <c r="C4" s="635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7" s="24" customFormat="1" ht="20.25" customHeight="1" x14ac:dyDescent="0.35">
      <c r="A5" s="18"/>
      <c r="B5" s="18"/>
      <c r="C5" s="636"/>
      <c r="D5" s="20"/>
      <c r="E5" s="412"/>
      <c r="F5" s="21"/>
      <c r="G5" s="21"/>
      <c r="H5" s="22"/>
      <c r="I5" s="23" t="s">
        <v>813</v>
      </c>
      <c r="J5" s="23"/>
      <c r="K5" s="23"/>
      <c r="L5" s="22"/>
      <c r="M5" s="23"/>
      <c r="N5" s="23"/>
      <c r="O5" s="22"/>
      <c r="P5" s="23"/>
    </row>
    <row r="6" spans="1:17" s="9" customFormat="1" ht="12" customHeight="1" x14ac:dyDescent="0.25">
      <c r="A6" s="8"/>
      <c r="B6" s="8"/>
      <c r="C6" s="637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7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7" s="9" customFormat="1" ht="15" x14ac:dyDescent="0.25">
      <c r="A8" s="775" t="s">
        <v>13</v>
      </c>
      <c r="B8" s="775"/>
      <c r="C8" s="775"/>
      <c r="D8" s="776"/>
      <c r="E8" s="779" t="s">
        <v>48</v>
      </c>
      <c r="F8" s="678"/>
      <c r="G8" s="679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7" s="9" customFormat="1" ht="15.75" customHeight="1" x14ac:dyDescent="0.25">
      <c r="A9" s="777"/>
      <c r="B9" s="777"/>
      <c r="C9" s="777"/>
      <c r="D9" s="778"/>
      <c r="E9" s="780"/>
      <c r="F9" s="680"/>
      <c r="G9" s="681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7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686"/>
      <c r="I10" s="31" t="s">
        <v>9</v>
      </c>
      <c r="J10" s="32" t="s">
        <v>0</v>
      </c>
      <c r="K10" s="32" t="s">
        <v>349</v>
      </c>
      <c r="L10" s="687"/>
      <c r="M10" s="33" t="s">
        <v>15</v>
      </c>
      <c r="N10" s="33" t="s">
        <v>15</v>
      </c>
      <c r="O10" s="686"/>
      <c r="P10" s="33" t="s">
        <v>15</v>
      </c>
    </row>
    <row r="11" spans="1:17" s="40" customFormat="1" ht="30" customHeight="1" x14ac:dyDescent="0.3">
      <c r="A11" s="199" t="s">
        <v>6</v>
      </c>
      <c r="B11" s="200"/>
      <c r="C11" s="645"/>
      <c r="D11" s="407"/>
      <c r="E11" s="407"/>
      <c r="F11" s="408"/>
      <c r="G11" s="408"/>
      <c r="H11" s="155"/>
      <c r="J11" s="409"/>
      <c r="K11" s="204"/>
      <c r="L11" s="155"/>
      <c r="M11" s="159"/>
      <c r="N11" s="159"/>
      <c r="O11" s="155"/>
      <c r="P11" s="159"/>
    </row>
    <row r="12" spans="1:17" s="56" customFormat="1" ht="15" x14ac:dyDescent="0.25">
      <c r="A12" s="361"/>
      <c r="B12" s="334" t="s">
        <v>44</v>
      </c>
      <c r="C12" s="639"/>
      <c r="D12" s="44"/>
      <c r="E12" s="45"/>
      <c r="F12" s="569">
        <f>SUM(F13:F21)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7" s="9" customFormat="1" ht="27.9" customHeight="1" x14ac:dyDescent="0.25">
      <c r="A13" s="78"/>
      <c r="B13" s="79"/>
      <c r="C13" s="86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88">
        <v>1</v>
      </c>
      <c r="N13" s="689"/>
      <c r="O13" s="357"/>
      <c r="P13" s="434">
        <f>M13-N13</f>
        <v>1</v>
      </c>
      <c r="Q13" s="712">
        <f t="shared" ref="Q13:Q19" si="0">M13-P13</f>
        <v>0</v>
      </c>
    </row>
    <row r="14" spans="1:17" s="9" customFormat="1" ht="27.9" customHeight="1" x14ac:dyDescent="0.25">
      <c r="A14" s="78"/>
      <c r="B14" s="79"/>
      <c r="C14" s="86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692">
        <f t="shared" ref="M14:M20" si="1">K14</f>
        <v>1</v>
      </c>
      <c r="N14" s="693"/>
      <c r="O14" s="332"/>
      <c r="P14" s="435">
        <f>K14-N14</f>
        <v>1</v>
      </c>
      <c r="Q14" s="712">
        <f t="shared" si="0"/>
        <v>0</v>
      </c>
    </row>
    <row r="15" spans="1:17" s="9" customFormat="1" ht="27.9" customHeight="1" x14ac:dyDescent="0.25">
      <c r="A15" s="78"/>
      <c r="B15" s="79"/>
      <c r="C15" s="86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692">
        <f t="shared" si="1"/>
        <v>1</v>
      </c>
      <c r="N15" s="693"/>
      <c r="O15" s="332"/>
      <c r="P15" s="435">
        <f>K15-N15</f>
        <v>1</v>
      </c>
      <c r="Q15" s="712">
        <f t="shared" si="0"/>
        <v>0</v>
      </c>
    </row>
    <row r="16" spans="1:17" s="9" customFormat="1" ht="37.5" customHeight="1" x14ac:dyDescent="0.25">
      <c r="A16" s="78"/>
      <c r="B16" s="79"/>
      <c r="C16" s="472"/>
      <c r="D16" s="351"/>
      <c r="E16" s="341" t="s">
        <v>634</v>
      </c>
      <c r="F16" s="566"/>
      <c r="G16" s="83">
        <v>45266</v>
      </c>
      <c r="H16" s="429"/>
      <c r="I16" s="468" t="s">
        <v>633</v>
      </c>
      <c r="J16" s="335" t="s">
        <v>320</v>
      </c>
      <c r="K16" s="431">
        <v>3</v>
      </c>
      <c r="L16" s="430"/>
      <c r="M16" s="692">
        <f t="shared" si="1"/>
        <v>3</v>
      </c>
      <c r="N16" s="694">
        <v>3</v>
      </c>
      <c r="O16" s="332"/>
      <c r="P16" s="435">
        <f>M16-N16</f>
        <v>0</v>
      </c>
      <c r="Q16" s="712">
        <f t="shared" si="0"/>
        <v>3</v>
      </c>
    </row>
    <row r="17" spans="1:17" s="9" customFormat="1" ht="37.5" customHeight="1" x14ac:dyDescent="0.25">
      <c r="A17" s="78"/>
      <c r="B17" s="79"/>
      <c r="C17" s="471" t="s">
        <v>763</v>
      </c>
      <c r="D17" s="350">
        <v>45361</v>
      </c>
      <c r="E17" s="341" t="s">
        <v>50</v>
      </c>
      <c r="F17" s="567"/>
      <c r="G17" s="83">
        <v>45259</v>
      </c>
      <c r="H17" s="429"/>
      <c r="I17" s="468" t="s">
        <v>591</v>
      </c>
      <c r="J17" s="336" t="s">
        <v>592</v>
      </c>
      <c r="K17" s="667">
        <v>2</v>
      </c>
      <c r="L17" s="430"/>
      <c r="M17" s="692">
        <f t="shared" si="1"/>
        <v>2</v>
      </c>
      <c r="N17" s="693"/>
      <c r="O17" s="332"/>
      <c r="P17" s="435">
        <f>K17-N17</f>
        <v>2</v>
      </c>
      <c r="Q17" s="712">
        <f t="shared" si="0"/>
        <v>0</v>
      </c>
    </row>
    <row r="18" spans="1:17" s="9" customFormat="1" ht="36.75" customHeight="1" x14ac:dyDescent="0.25">
      <c r="A18" s="78"/>
      <c r="B18" s="79"/>
      <c r="C18" s="547" t="s">
        <v>764</v>
      </c>
      <c r="D18" s="455">
        <v>45285</v>
      </c>
      <c r="E18" s="428" t="s">
        <v>50</v>
      </c>
      <c r="F18" s="456"/>
      <c r="G18" s="83">
        <v>45272</v>
      </c>
      <c r="H18" s="457"/>
      <c r="I18" s="468" t="s">
        <v>652</v>
      </c>
      <c r="J18" s="335" t="s">
        <v>315</v>
      </c>
      <c r="K18" s="668">
        <v>12</v>
      </c>
      <c r="L18" s="584"/>
      <c r="M18" s="87">
        <f t="shared" si="1"/>
        <v>12</v>
      </c>
      <c r="N18" s="695"/>
      <c r="O18" s="438"/>
      <c r="P18" s="137">
        <f>M18-N18</f>
        <v>12</v>
      </c>
      <c r="Q18" s="712">
        <f t="shared" si="0"/>
        <v>0</v>
      </c>
    </row>
    <row r="19" spans="1:17" s="9" customFormat="1" ht="36.75" customHeight="1" x14ac:dyDescent="0.25">
      <c r="A19" s="78"/>
      <c r="B19" s="79"/>
      <c r="C19" s="547" t="s">
        <v>764</v>
      </c>
      <c r="D19" s="455">
        <v>45381</v>
      </c>
      <c r="E19" s="428" t="s">
        <v>60</v>
      </c>
      <c r="F19" s="456"/>
      <c r="G19" s="83">
        <v>45330</v>
      </c>
      <c r="H19" s="457"/>
      <c r="I19" s="468" t="s">
        <v>774</v>
      </c>
      <c r="J19" s="335" t="s">
        <v>773</v>
      </c>
      <c r="K19" s="668">
        <v>7</v>
      </c>
      <c r="L19" s="584"/>
      <c r="M19" s="87">
        <f t="shared" si="1"/>
        <v>7</v>
      </c>
      <c r="N19" s="695">
        <v>7</v>
      </c>
      <c r="O19" s="438"/>
      <c r="P19" s="137">
        <f>M19-N19</f>
        <v>0</v>
      </c>
      <c r="Q19" s="712">
        <f t="shared" si="0"/>
        <v>7</v>
      </c>
    </row>
    <row r="20" spans="1:17" s="9" customFormat="1" ht="36.75" customHeight="1" x14ac:dyDescent="0.25">
      <c r="A20" s="78"/>
      <c r="B20" s="79"/>
      <c r="C20" s="514" t="s">
        <v>880</v>
      </c>
      <c r="D20" s="337">
        <v>45398</v>
      </c>
      <c r="E20" s="428" t="s">
        <v>60</v>
      </c>
      <c r="F20" s="520"/>
      <c r="G20" s="366">
        <v>45379</v>
      </c>
      <c r="H20" s="457"/>
      <c r="I20" s="468" t="s">
        <v>878</v>
      </c>
      <c r="J20" s="335" t="s">
        <v>879</v>
      </c>
      <c r="K20" s="668">
        <v>2</v>
      </c>
      <c r="L20" s="584"/>
      <c r="M20" s="87">
        <f t="shared" si="1"/>
        <v>2</v>
      </c>
      <c r="N20" s="695"/>
      <c r="O20" s="438"/>
      <c r="P20" s="137">
        <f>M20-N20</f>
        <v>2</v>
      </c>
      <c r="Q20" s="712"/>
    </row>
    <row r="21" spans="1:17" s="9" customFormat="1" ht="39.75" customHeight="1" x14ac:dyDescent="0.25">
      <c r="A21" s="78"/>
      <c r="B21" s="379"/>
      <c r="C21" s="446"/>
      <c r="D21" s="484" t="s">
        <v>90</v>
      </c>
      <c r="E21" s="428" t="s">
        <v>50</v>
      </c>
      <c r="F21" s="568">
        <v>34885.82</v>
      </c>
      <c r="G21" s="366"/>
      <c r="H21" s="90"/>
      <c r="I21" s="669" t="s">
        <v>72</v>
      </c>
      <c r="J21" s="670" t="s">
        <v>70</v>
      </c>
      <c r="K21" s="671">
        <v>2</v>
      </c>
      <c r="L21" s="666"/>
      <c r="M21" s="690">
        <v>1</v>
      </c>
      <c r="N21" s="691"/>
      <c r="O21" s="666"/>
      <c r="P21" s="137">
        <f>M21-N21</f>
        <v>1</v>
      </c>
      <c r="Q21" s="712">
        <f>M21-P21</f>
        <v>0</v>
      </c>
    </row>
    <row r="22" spans="1:17" s="1" customFormat="1" ht="16.5" customHeight="1" x14ac:dyDescent="0.25">
      <c r="A22" s="474"/>
      <c r="B22" s="330" t="s">
        <v>821</v>
      </c>
      <c r="C22" s="641"/>
      <c r="D22" s="486"/>
      <c r="E22" s="475"/>
      <c r="F22" s="476"/>
      <c r="G22" s="477"/>
      <c r="H22" s="463"/>
      <c r="I22" s="478"/>
      <c r="J22" s="479"/>
      <c r="K22" s="480"/>
      <c r="L22" s="464"/>
      <c r="M22" s="54"/>
      <c r="N22" s="55"/>
      <c r="O22" s="464"/>
      <c r="P22" s="465"/>
      <c r="Q22" s="712">
        <f>M22-P22</f>
        <v>0</v>
      </c>
    </row>
    <row r="23" spans="1:17" s="56" customFormat="1" ht="26.4" x14ac:dyDescent="0.25">
      <c r="A23" s="41"/>
      <c r="B23" s="330"/>
      <c r="C23" s="793" t="s">
        <v>830</v>
      </c>
      <c r="D23" s="351">
        <v>45463</v>
      </c>
      <c r="E23" s="341" t="s">
        <v>60</v>
      </c>
      <c r="F23" s="82"/>
      <c r="G23" s="83">
        <v>45357</v>
      </c>
      <c r="H23" s="48"/>
      <c r="I23" s="468" t="s">
        <v>822</v>
      </c>
      <c r="J23" s="335" t="s">
        <v>823</v>
      </c>
      <c r="K23" s="431">
        <v>64</v>
      </c>
      <c r="L23" s="53"/>
      <c r="M23" s="688">
        <f>K23</f>
        <v>64</v>
      </c>
      <c r="N23" s="689"/>
      <c r="O23" s="357"/>
      <c r="P23" s="434">
        <f>M23-N23</f>
        <v>64</v>
      </c>
      <c r="Q23" s="712">
        <f>M23-P23</f>
        <v>0</v>
      </c>
    </row>
    <row r="24" spans="1:17" s="56" customFormat="1" ht="26.4" x14ac:dyDescent="0.25">
      <c r="A24" s="41"/>
      <c r="B24" s="330"/>
      <c r="C24" s="788"/>
      <c r="D24" s="351">
        <v>45463</v>
      </c>
      <c r="E24" s="341" t="s">
        <v>60</v>
      </c>
      <c r="F24" s="82"/>
      <c r="G24" s="83">
        <v>45357</v>
      </c>
      <c r="H24" s="48"/>
      <c r="I24" s="468" t="s">
        <v>824</v>
      </c>
      <c r="J24" s="335" t="s">
        <v>825</v>
      </c>
      <c r="K24" s="431">
        <v>64</v>
      </c>
      <c r="L24" s="53"/>
      <c r="M24" s="692">
        <f>K24</f>
        <v>64</v>
      </c>
      <c r="N24" s="693"/>
      <c r="O24" s="332"/>
      <c r="P24" s="435">
        <f>K24-N24</f>
        <v>64</v>
      </c>
      <c r="Q24" s="712"/>
    </row>
    <row r="25" spans="1:17" s="56" customFormat="1" ht="27" customHeight="1" x14ac:dyDescent="0.25">
      <c r="A25" s="41"/>
      <c r="B25" s="330"/>
      <c r="C25" s="788"/>
      <c r="D25" s="351">
        <v>45463</v>
      </c>
      <c r="E25" s="341" t="s">
        <v>60</v>
      </c>
      <c r="F25" s="82"/>
      <c r="G25" s="83">
        <v>45357</v>
      </c>
      <c r="H25" s="48"/>
      <c r="I25" s="468" t="s">
        <v>826</v>
      </c>
      <c r="J25" s="335" t="s">
        <v>827</v>
      </c>
      <c r="K25" s="431">
        <v>560</v>
      </c>
      <c r="L25" s="53"/>
      <c r="M25" s="692">
        <f>K25</f>
        <v>560</v>
      </c>
      <c r="N25" s="693"/>
      <c r="O25" s="332"/>
      <c r="P25" s="435">
        <f>K25-N25</f>
        <v>560</v>
      </c>
      <c r="Q25" s="712"/>
    </row>
    <row r="26" spans="1:17" s="56" customFormat="1" ht="27" customHeight="1" x14ac:dyDescent="0.25">
      <c r="A26" s="41"/>
      <c r="B26" s="330"/>
      <c r="C26" s="789"/>
      <c r="D26" s="351">
        <v>45463</v>
      </c>
      <c r="E26" s="341" t="s">
        <v>60</v>
      </c>
      <c r="F26" s="82"/>
      <c r="G26" s="83">
        <v>45357</v>
      </c>
      <c r="H26" s="48"/>
      <c r="I26" s="468" t="s">
        <v>828</v>
      </c>
      <c r="J26" s="335" t="s">
        <v>829</v>
      </c>
      <c r="K26" s="431">
        <v>560</v>
      </c>
      <c r="L26" s="53"/>
      <c r="M26" s="692">
        <f>K26</f>
        <v>560</v>
      </c>
      <c r="N26" s="693"/>
      <c r="O26" s="332"/>
      <c r="P26" s="435">
        <f>K26-N26</f>
        <v>560</v>
      </c>
      <c r="Q26" s="712"/>
    </row>
    <row r="27" spans="1:17" s="1" customFormat="1" ht="16.5" customHeight="1" x14ac:dyDescent="0.25">
      <c r="A27" s="474"/>
      <c r="B27" s="462" t="s">
        <v>79</v>
      </c>
      <c r="C27" s="641"/>
      <c r="D27" s="486"/>
      <c r="E27" s="475"/>
      <c r="F27" s="476"/>
      <c r="G27" s="477"/>
      <c r="H27" s="463"/>
      <c r="I27" s="478"/>
      <c r="J27" s="479"/>
      <c r="K27" s="480"/>
      <c r="L27" s="464"/>
      <c r="M27" s="54"/>
      <c r="N27" s="55"/>
      <c r="O27" s="464"/>
      <c r="P27" s="465"/>
      <c r="Q27" s="712">
        <f>M27-P27</f>
        <v>0</v>
      </c>
    </row>
    <row r="28" spans="1:17" s="9" customFormat="1" ht="41.25" customHeight="1" x14ac:dyDescent="0.25">
      <c r="A28" s="78"/>
      <c r="B28" s="79"/>
      <c r="C28" s="490" t="s">
        <v>220</v>
      </c>
      <c r="D28" s="351">
        <v>45117</v>
      </c>
      <c r="E28" s="341" t="s">
        <v>50</v>
      </c>
      <c r="F28" s="82"/>
      <c r="G28" s="83">
        <v>45000</v>
      </c>
      <c r="H28" s="429"/>
      <c r="I28" s="468" t="s">
        <v>222</v>
      </c>
      <c r="J28" s="335" t="s">
        <v>221</v>
      </c>
      <c r="K28" s="343">
        <v>1</v>
      </c>
      <c r="L28" s="430"/>
      <c r="M28" s="631">
        <f>K28</f>
        <v>1</v>
      </c>
      <c r="N28" s="376"/>
      <c r="O28" s="332"/>
      <c r="P28" s="435">
        <f>M28-N28</f>
        <v>1</v>
      </c>
      <c r="Q28" s="712">
        <f>M28-P28</f>
        <v>0</v>
      </c>
    </row>
    <row r="29" spans="1:17" s="56" customFormat="1" ht="18" customHeight="1" x14ac:dyDescent="0.25">
      <c r="A29" s="41"/>
      <c r="B29" s="330" t="s">
        <v>846</v>
      </c>
      <c r="C29" s="642"/>
      <c r="D29" s="44"/>
      <c r="E29" s="45"/>
      <c r="F29" s="46"/>
      <c r="G29" s="47"/>
      <c r="H29" s="48"/>
      <c r="I29" s="49"/>
      <c r="J29" s="50"/>
      <c r="K29" s="51"/>
      <c r="L29" s="53"/>
      <c r="M29" s="49"/>
      <c r="N29" s="55"/>
      <c r="O29" s="53"/>
      <c r="P29" s="54"/>
      <c r="Q29" s="712">
        <f>M29-P29</f>
        <v>0</v>
      </c>
    </row>
    <row r="30" spans="1:17" s="9" customFormat="1" ht="51" customHeight="1" x14ac:dyDescent="0.25">
      <c r="A30" s="78"/>
      <c r="B30" s="79"/>
      <c r="C30" s="490" t="s">
        <v>847</v>
      </c>
      <c r="D30" s="351">
        <v>45422</v>
      </c>
      <c r="E30" s="341" t="s">
        <v>60</v>
      </c>
      <c r="F30" s="82"/>
      <c r="G30" s="83">
        <v>45362</v>
      </c>
      <c r="H30" s="429"/>
      <c r="I30" s="468" t="s">
        <v>848</v>
      </c>
      <c r="J30" s="335" t="s">
        <v>849</v>
      </c>
      <c r="K30" s="431">
        <v>8</v>
      </c>
      <c r="L30" s="430"/>
      <c r="M30" s="410">
        <f>K30</f>
        <v>8</v>
      </c>
      <c r="N30" s="376"/>
      <c r="O30" s="332"/>
      <c r="P30" s="435">
        <f>M30-N30</f>
        <v>8</v>
      </c>
      <c r="Q30" s="712"/>
    </row>
    <row r="31" spans="1:17" s="56" customFormat="1" ht="18.75" customHeight="1" x14ac:dyDescent="0.25">
      <c r="A31" s="41"/>
      <c r="B31" s="330" t="s">
        <v>741</v>
      </c>
      <c r="C31" s="642"/>
      <c r="D31" s="44"/>
      <c r="E31" s="45"/>
      <c r="F31" s="46"/>
      <c r="G31" s="47"/>
      <c r="H31" s="48"/>
      <c r="I31" s="49"/>
      <c r="J31" s="50"/>
      <c r="K31" s="51"/>
      <c r="L31" s="53"/>
      <c r="M31" s="54"/>
      <c r="N31" s="55"/>
      <c r="O31" s="53"/>
      <c r="P31" s="54"/>
      <c r="Q31" s="712">
        <f>M31-P31</f>
        <v>0</v>
      </c>
    </row>
    <row r="32" spans="1:17" s="9" customFormat="1" ht="22.5" customHeight="1" x14ac:dyDescent="0.25">
      <c r="A32" s="721"/>
      <c r="B32" s="722"/>
      <c r="C32" s="793" t="s">
        <v>746</v>
      </c>
      <c r="D32" s="351">
        <v>45465</v>
      </c>
      <c r="E32" s="341" t="s">
        <v>50</v>
      </c>
      <c r="F32" s="82"/>
      <c r="G32" s="83">
        <v>45324</v>
      </c>
      <c r="H32" s="429"/>
      <c r="I32" s="468" t="s">
        <v>742</v>
      </c>
      <c r="J32" s="335" t="s">
        <v>743</v>
      </c>
      <c r="K32" s="343">
        <v>3</v>
      </c>
      <c r="L32" s="430"/>
      <c r="M32" s="410">
        <f>K32</f>
        <v>3</v>
      </c>
      <c r="N32" s="376"/>
      <c r="O32" s="332"/>
      <c r="P32" s="435">
        <f>M32-N32</f>
        <v>3</v>
      </c>
      <c r="Q32" s="712">
        <f>M32-P32</f>
        <v>0</v>
      </c>
    </row>
    <row r="33" spans="1:17" s="9" customFormat="1" ht="26.4" x14ac:dyDescent="0.25">
      <c r="A33" s="89"/>
      <c r="B33" s="379"/>
      <c r="C33" s="794"/>
      <c r="D33" s="351">
        <v>45361</v>
      </c>
      <c r="E33" s="341" t="s">
        <v>50</v>
      </c>
      <c r="F33" s="82"/>
      <c r="G33" s="83">
        <v>45324</v>
      </c>
      <c r="H33" s="429"/>
      <c r="I33" s="468" t="s">
        <v>744</v>
      </c>
      <c r="J33" s="335" t="s">
        <v>745</v>
      </c>
      <c r="K33" s="343">
        <v>1</v>
      </c>
      <c r="L33" s="430"/>
      <c r="M33" s="410">
        <f>K33</f>
        <v>1</v>
      </c>
      <c r="N33" s="376"/>
      <c r="O33" s="332"/>
      <c r="P33" s="435">
        <f>M33-N33</f>
        <v>1</v>
      </c>
      <c r="Q33" s="712">
        <f>M33-P33</f>
        <v>0</v>
      </c>
    </row>
    <row r="34" spans="1:17" s="56" customFormat="1" ht="27" customHeight="1" x14ac:dyDescent="0.25">
      <c r="A34" s="719"/>
      <c r="B34" s="720"/>
      <c r="C34" s="791" t="s">
        <v>867</v>
      </c>
      <c r="D34" s="351">
        <v>45516</v>
      </c>
      <c r="E34" s="341" t="s">
        <v>50</v>
      </c>
      <c r="F34" s="82"/>
      <c r="G34" s="83">
        <v>45369</v>
      </c>
      <c r="H34" s="48"/>
      <c r="I34" s="468" t="s">
        <v>863</v>
      </c>
      <c r="J34" s="335" t="s">
        <v>864</v>
      </c>
      <c r="K34" s="453">
        <v>1</v>
      </c>
      <c r="L34" s="53"/>
      <c r="M34" s="410">
        <f>K34</f>
        <v>1</v>
      </c>
      <c r="N34" s="376"/>
      <c r="O34" s="332"/>
      <c r="P34" s="435">
        <f>M34-N34</f>
        <v>1</v>
      </c>
      <c r="Q34" s="712"/>
    </row>
    <row r="35" spans="1:17" s="56" customFormat="1" ht="27" customHeight="1" x14ac:dyDescent="0.25">
      <c r="A35" s="41"/>
      <c r="B35" s="330"/>
      <c r="C35" s="818"/>
      <c r="D35" s="351">
        <v>45516</v>
      </c>
      <c r="E35" s="341" t="s">
        <v>50</v>
      </c>
      <c r="F35" s="82"/>
      <c r="G35" s="83">
        <v>45369</v>
      </c>
      <c r="H35" s="48"/>
      <c r="I35" s="468" t="s">
        <v>865</v>
      </c>
      <c r="J35" s="335" t="s">
        <v>866</v>
      </c>
      <c r="K35" s="453">
        <v>1</v>
      </c>
      <c r="L35" s="53"/>
      <c r="M35" s="410">
        <f>K35</f>
        <v>1</v>
      </c>
      <c r="N35" s="376"/>
      <c r="O35" s="332"/>
      <c r="P35" s="435">
        <f>M35-N35</f>
        <v>1</v>
      </c>
      <c r="Q35" s="712"/>
    </row>
    <row r="36" spans="1:17" s="9" customFormat="1" ht="16.5" customHeight="1" x14ac:dyDescent="0.25">
      <c r="A36" s="97"/>
      <c r="B36" s="330" t="s">
        <v>45</v>
      </c>
      <c r="C36" s="642"/>
      <c r="D36" s="98"/>
      <c r="E36" s="99"/>
      <c r="F36" s="569">
        <v>1838876.68</v>
      </c>
      <c r="G36" s="101"/>
      <c r="H36" s="102"/>
      <c r="I36" s="103"/>
      <c r="J36" s="105"/>
      <c r="K36" s="106"/>
      <c r="L36" s="53"/>
      <c r="M36" s="54"/>
      <c r="N36" s="55"/>
      <c r="O36" s="53"/>
      <c r="P36" s="54"/>
      <c r="Q36" s="712">
        <f t="shared" ref="Q36:Q47" si="2">M36-P36</f>
        <v>0</v>
      </c>
    </row>
    <row r="37" spans="1:17" s="121" customFormat="1" ht="39.6" x14ac:dyDescent="0.25">
      <c r="A37" s="78"/>
      <c r="B37" s="132"/>
      <c r="C37" s="472"/>
      <c r="D37" s="426"/>
      <c r="E37" s="337" t="s">
        <v>40</v>
      </c>
      <c r="F37" s="672" t="s">
        <v>765</v>
      </c>
      <c r="G37" s="94"/>
      <c r="H37" s="134"/>
      <c r="I37" s="468" t="s">
        <v>67</v>
      </c>
      <c r="J37" s="336" t="s">
        <v>68</v>
      </c>
      <c r="K37" s="470">
        <v>4</v>
      </c>
      <c r="L37" s="135"/>
      <c r="M37" s="87">
        <f>K37</f>
        <v>4</v>
      </c>
      <c r="N37" s="130"/>
      <c r="O37" s="135"/>
      <c r="P37" s="137">
        <f t="shared" ref="P37:P50" si="3">M37-N37</f>
        <v>4</v>
      </c>
      <c r="Q37" s="712">
        <f t="shared" si="2"/>
        <v>0</v>
      </c>
    </row>
    <row r="38" spans="1:17" s="121" customFormat="1" ht="39.75" customHeight="1" x14ac:dyDescent="0.25">
      <c r="A38" s="78"/>
      <c r="B38" s="132"/>
      <c r="C38" s="549" t="s">
        <v>460</v>
      </c>
      <c r="D38" s="426">
        <v>45040</v>
      </c>
      <c r="E38" s="365" t="s">
        <v>50</v>
      </c>
      <c r="F38" s="93"/>
      <c r="G38" s="426">
        <v>44956</v>
      </c>
      <c r="H38" s="134"/>
      <c r="I38" s="468" t="s">
        <v>210</v>
      </c>
      <c r="J38" s="336" t="s">
        <v>150</v>
      </c>
      <c r="K38" s="513">
        <v>2</v>
      </c>
      <c r="L38" s="135"/>
      <c r="M38" s="87">
        <f>K38</f>
        <v>2</v>
      </c>
      <c r="N38" s="130"/>
      <c r="O38" s="135"/>
      <c r="P38" s="137">
        <f t="shared" si="3"/>
        <v>2</v>
      </c>
      <c r="Q38" s="712">
        <f t="shared" si="2"/>
        <v>0</v>
      </c>
    </row>
    <row r="39" spans="1:17" s="121" customFormat="1" ht="31.5" customHeight="1" x14ac:dyDescent="0.25">
      <c r="A39" s="78"/>
      <c r="B39" s="132"/>
      <c r="C39" s="549" t="s">
        <v>296</v>
      </c>
      <c r="D39" s="426">
        <v>45213</v>
      </c>
      <c r="E39" s="365" t="s">
        <v>50</v>
      </c>
      <c r="F39" s="93"/>
      <c r="G39" s="426">
        <v>45091</v>
      </c>
      <c r="H39" s="134"/>
      <c r="I39" s="468" t="s">
        <v>298</v>
      </c>
      <c r="J39" s="336" t="s">
        <v>294</v>
      </c>
      <c r="K39" s="513">
        <v>1</v>
      </c>
      <c r="L39" s="135"/>
      <c r="M39" s="87">
        <f>K39</f>
        <v>1</v>
      </c>
      <c r="N39" s="130"/>
      <c r="O39" s="135"/>
      <c r="P39" s="137">
        <f t="shared" si="3"/>
        <v>1</v>
      </c>
      <c r="Q39" s="712">
        <f t="shared" si="2"/>
        <v>0</v>
      </c>
    </row>
    <row r="40" spans="1:17" s="121" customFormat="1" ht="36.75" customHeight="1" x14ac:dyDescent="0.25">
      <c r="A40" s="78"/>
      <c r="B40" s="132"/>
      <c r="C40" s="489" t="s">
        <v>415</v>
      </c>
      <c r="D40" s="426">
        <v>44936</v>
      </c>
      <c r="E40" s="365" t="s">
        <v>50</v>
      </c>
      <c r="F40" s="93"/>
      <c r="G40" s="426">
        <v>45188</v>
      </c>
      <c r="H40" s="134"/>
      <c r="I40" s="468" t="s">
        <v>416</v>
      </c>
      <c r="J40" s="336" t="s">
        <v>145</v>
      </c>
      <c r="K40" s="513">
        <v>2</v>
      </c>
      <c r="L40" s="135"/>
      <c r="M40" s="87">
        <f>K40</f>
        <v>2</v>
      </c>
      <c r="N40" s="130">
        <v>2</v>
      </c>
      <c r="O40" s="135"/>
      <c r="P40" s="137">
        <f t="shared" si="3"/>
        <v>0</v>
      </c>
      <c r="Q40" s="712">
        <f t="shared" si="2"/>
        <v>2</v>
      </c>
    </row>
    <row r="41" spans="1:17" s="121" customFormat="1" ht="21.75" customHeight="1" x14ac:dyDescent="0.25">
      <c r="A41" s="78"/>
      <c r="B41" s="132"/>
      <c r="C41" s="549" t="s">
        <v>414</v>
      </c>
      <c r="D41" s="426">
        <v>45083</v>
      </c>
      <c r="E41" s="365" t="s">
        <v>50</v>
      </c>
      <c r="F41" s="93"/>
      <c r="G41" s="426">
        <v>45042</v>
      </c>
      <c r="H41" s="134"/>
      <c r="I41" s="468" t="s">
        <v>255</v>
      </c>
      <c r="J41" s="538" t="s">
        <v>226</v>
      </c>
      <c r="K41" s="513">
        <v>30</v>
      </c>
      <c r="L41" s="135"/>
      <c r="M41" s="87">
        <v>10</v>
      </c>
      <c r="N41" s="130"/>
      <c r="O41" s="135"/>
      <c r="P41" s="137">
        <f t="shared" si="3"/>
        <v>10</v>
      </c>
      <c r="Q41" s="712">
        <f t="shared" si="2"/>
        <v>0</v>
      </c>
    </row>
    <row r="42" spans="1:17" s="121" customFormat="1" ht="29.25" customHeight="1" x14ac:dyDescent="0.25">
      <c r="A42" s="78"/>
      <c r="B42" s="132"/>
      <c r="C42" s="471" t="s">
        <v>418</v>
      </c>
      <c r="D42" s="351">
        <v>45311</v>
      </c>
      <c r="E42" s="365" t="s">
        <v>50</v>
      </c>
      <c r="F42" s="93"/>
      <c r="G42" s="426">
        <v>45238</v>
      </c>
      <c r="H42" s="134"/>
      <c r="I42" s="468" t="s">
        <v>524</v>
      </c>
      <c r="J42" s="336" t="s">
        <v>525</v>
      </c>
      <c r="K42" s="513">
        <v>2</v>
      </c>
      <c r="L42" s="135"/>
      <c r="M42" s="87">
        <v>2</v>
      </c>
      <c r="N42" s="130"/>
      <c r="O42" s="135"/>
      <c r="P42" s="137">
        <f t="shared" si="3"/>
        <v>2</v>
      </c>
      <c r="Q42" s="712">
        <f t="shared" si="2"/>
        <v>0</v>
      </c>
    </row>
    <row r="43" spans="1:17" s="121" customFormat="1" ht="29.25" customHeight="1" x14ac:dyDescent="0.25">
      <c r="A43" s="78"/>
      <c r="B43" s="132"/>
      <c r="C43" s="471" t="s">
        <v>418</v>
      </c>
      <c r="D43" s="351"/>
      <c r="E43" s="365" t="s">
        <v>50</v>
      </c>
      <c r="F43" s="93"/>
      <c r="G43" s="426">
        <v>45254</v>
      </c>
      <c r="H43" s="134"/>
      <c r="I43" s="468" t="s">
        <v>583</v>
      </c>
      <c r="J43" s="336" t="s">
        <v>584</v>
      </c>
      <c r="K43" s="513">
        <v>8</v>
      </c>
      <c r="L43" s="135"/>
      <c r="M43" s="87">
        <v>7</v>
      </c>
      <c r="N43" s="130"/>
      <c r="O43" s="135"/>
      <c r="P43" s="137">
        <f t="shared" si="3"/>
        <v>7</v>
      </c>
      <c r="Q43" s="712">
        <f t="shared" si="2"/>
        <v>0</v>
      </c>
    </row>
    <row r="44" spans="1:17" s="121" customFormat="1" ht="36.75" customHeight="1" x14ac:dyDescent="0.25">
      <c r="A44" s="78"/>
      <c r="B44" s="132"/>
      <c r="C44" s="471" t="s">
        <v>629</v>
      </c>
      <c r="D44" s="351">
        <v>45416</v>
      </c>
      <c r="E44" s="365" t="s">
        <v>50</v>
      </c>
      <c r="F44" s="93"/>
      <c r="G44" s="426">
        <v>45254</v>
      </c>
      <c r="H44" s="134"/>
      <c r="I44" s="468" t="s">
        <v>625</v>
      </c>
      <c r="J44" s="336" t="s">
        <v>626</v>
      </c>
      <c r="K44" s="513">
        <v>1</v>
      </c>
      <c r="L44" s="135"/>
      <c r="M44" s="87">
        <f t="shared" ref="M44:M50" si="4">K44</f>
        <v>1</v>
      </c>
      <c r="N44" s="130"/>
      <c r="O44" s="135"/>
      <c r="P44" s="137">
        <f t="shared" si="3"/>
        <v>1</v>
      </c>
      <c r="Q44" s="712">
        <f t="shared" si="2"/>
        <v>0</v>
      </c>
    </row>
    <row r="45" spans="1:17" s="121" customFormat="1" ht="35.25" customHeight="1" x14ac:dyDescent="0.25">
      <c r="A45" s="78"/>
      <c r="B45" s="132"/>
      <c r="C45" s="549" t="s">
        <v>649</v>
      </c>
      <c r="D45" s="351">
        <v>45383</v>
      </c>
      <c r="E45" s="365" t="s">
        <v>50</v>
      </c>
      <c r="F45" s="93"/>
      <c r="G45" s="426">
        <v>45267</v>
      </c>
      <c r="H45" s="134"/>
      <c r="I45" s="468" t="s">
        <v>650</v>
      </c>
      <c r="J45" s="336" t="s">
        <v>125</v>
      </c>
      <c r="K45" s="513">
        <v>1</v>
      </c>
      <c r="L45" s="135"/>
      <c r="M45" s="87">
        <f t="shared" si="4"/>
        <v>1</v>
      </c>
      <c r="N45" s="130">
        <v>1</v>
      </c>
      <c r="O45" s="135"/>
      <c r="P45" s="137">
        <f t="shared" si="3"/>
        <v>0</v>
      </c>
      <c r="Q45" s="712">
        <f t="shared" si="2"/>
        <v>1</v>
      </c>
    </row>
    <row r="46" spans="1:17" s="121" customFormat="1" ht="35.25" customHeight="1" x14ac:dyDescent="0.25">
      <c r="A46" s="78"/>
      <c r="B46" s="132"/>
      <c r="C46" s="790" t="s">
        <v>713</v>
      </c>
      <c r="D46" s="351">
        <v>45422</v>
      </c>
      <c r="E46" s="365" t="s">
        <v>50</v>
      </c>
      <c r="F46" s="93"/>
      <c r="G46" s="426">
        <v>45306</v>
      </c>
      <c r="H46" s="134"/>
      <c r="I46" s="468" t="s">
        <v>714</v>
      </c>
      <c r="J46" s="336" t="s">
        <v>715</v>
      </c>
      <c r="K46" s="513">
        <v>5</v>
      </c>
      <c r="L46" s="135"/>
      <c r="M46" s="87">
        <f t="shared" si="4"/>
        <v>5</v>
      </c>
      <c r="N46" s="130"/>
      <c r="O46" s="135"/>
      <c r="P46" s="137">
        <f t="shared" si="3"/>
        <v>5</v>
      </c>
      <c r="Q46" s="712">
        <f t="shared" si="2"/>
        <v>0</v>
      </c>
    </row>
    <row r="47" spans="1:17" s="121" customFormat="1" ht="35.25" customHeight="1" x14ac:dyDescent="0.25">
      <c r="A47" s="78"/>
      <c r="B47" s="132"/>
      <c r="C47" s="792"/>
      <c r="D47" s="351">
        <v>45422</v>
      </c>
      <c r="E47" s="365" t="s">
        <v>50</v>
      </c>
      <c r="F47" s="93"/>
      <c r="G47" s="426">
        <v>45306</v>
      </c>
      <c r="H47" s="134"/>
      <c r="I47" s="468" t="s">
        <v>716</v>
      </c>
      <c r="J47" s="336" t="s">
        <v>717</v>
      </c>
      <c r="K47" s="513">
        <v>15</v>
      </c>
      <c r="L47" s="135"/>
      <c r="M47" s="87">
        <f t="shared" si="4"/>
        <v>15</v>
      </c>
      <c r="N47" s="130"/>
      <c r="O47" s="135"/>
      <c r="P47" s="137">
        <f t="shared" si="3"/>
        <v>15</v>
      </c>
      <c r="Q47" s="712">
        <f t="shared" si="2"/>
        <v>0</v>
      </c>
    </row>
    <row r="48" spans="1:17" s="121" customFormat="1" ht="35.25" customHeight="1" x14ac:dyDescent="0.25">
      <c r="A48" s="78"/>
      <c r="B48" s="132"/>
      <c r="C48" s="790" t="s">
        <v>834</v>
      </c>
      <c r="D48" s="351">
        <v>45453</v>
      </c>
      <c r="E48" s="365" t="s">
        <v>50</v>
      </c>
      <c r="F48" s="93"/>
      <c r="G48" s="426">
        <v>45355</v>
      </c>
      <c r="H48" s="134"/>
      <c r="I48" s="468" t="s">
        <v>831</v>
      </c>
      <c r="J48" s="336" t="s">
        <v>144</v>
      </c>
      <c r="K48" s="513">
        <v>2</v>
      </c>
      <c r="L48" s="135"/>
      <c r="M48" s="87">
        <f t="shared" si="4"/>
        <v>2</v>
      </c>
      <c r="N48" s="130"/>
      <c r="O48" s="135"/>
      <c r="P48" s="137">
        <f t="shared" si="3"/>
        <v>2</v>
      </c>
      <c r="Q48" s="712"/>
    </row>
    <row r="49" spans="1:17" s="121" customFormat="1" ht="35.25" customHeight="1" x14ac:dyDescent="0.25">
      <c r="A49" s="78"/>
      <c r="B49" s="132"/>
      <c r="C49" s="792"/>
      <c r="D49" s="351">
        <v>45518</v>
      </c>
      <c r="E49" s="365" t="s">
        <v>50</v>
      </c>
      <c r="F49" s="93"/>
      <c r="G49" s="426">
        <v>45355</v>
      </c>
      <c r="H49" s="134"/>
      <c r="I49" s="468" t="s">
        <v>832</v>
      </c>
      <c r="J49" s="336" t="s">
        <v>833</v>
      </c>
      <c r="K49" s="513">
        <v>1</v>
      </c>
      <c r="L49" s="135"/>
      <c r="M49" s="87">
        <f t="shared" si="4"/>
        <v>1</v>
      </c>
      <c r="N49" s="130"/>
      <c r="O49" s="135"/>
      <c r="P49" s="137">
        <f t="shared" si="3"/>
        <v>1</v>
      </c>
      <c r="Q49" s="712"/>
    </row>
    <row r="50" spans="1:17" s="121" customFormat="1" ht="35.25" customHeight="1" x14ac:dyDescent="0.25">
      <c r="A50" s="78"/>
      <c r="B50" s="132"/>
      <c r="C50" s="467"/>
      <c r="D50" s="351">
        <v>45379</v>
      </c>
      <c r="E50" s="365" t="s">
        <v>50</v>
      </c>
      <c r="F50" s="93"/>
      <c r="G50" s="426">
        <v>45351</v>
      </c>
      <c r="H50" s="134"/>
      <c r="I50" s="468" t="s">
        <v>811</v>
      </c>
      <c r="J50" s="336" t="s">
        <v>812</v>
      </c>
      <c r="K50" s="513">
        <v>2</v>
      </c>
      <c r="L50" s="135"/>
      <c r="M50" s="87">
        <f t="shared" si="4"/>
        <v>2</v>
      </c>
      <c r="N50" s="130"/>
      <c r="O50" s="135"/>
      <c r="P50" s="137">
        <f t="shared" si="3"/>
        <v>2</v>
      </c>
      <c r="Q50" s="712">
        <f>M50-P50</f>
        <v>0</v>
      </c>
    </row>
    <row r="51" spans="1:17" s="121" customFormat="1" ht="31.5" customHeight="1" x14ac:dyDescent="0.25">
      <c r="A51" s="78"/>
      <c r="B51" s="132"/>
      <c r="C51" s="790" t="s">
        <v>761</v>
      </c>
      <c r="D51" s="426">
        <v>45083</v>
      </c>
      <c r="E51" s="365" t="s">
        <v>50</v>
      </c>
      <c r="F51" s="93"/>
      <c r="G51" s="426">
        <v>45042</v>
      </c>
      <c r="H51" s="134"/>
      <c r="I51" s="468" t="s">
        <v>257</v>
      </c>
      <c r="J51" s="336" t="s">
        <v>244</v>
      </c>
      <c r="K51" s="513">
        <v>5</v>
      </c>
      <c r="L51" s="135"/>
      <c r="M51" s="87">
        <f t="shared" ref="M51:M60" si="5">K51</f>
        <v>5</v>
      </c>
      <c r="N51" s="130"/>
      <c r="O51" s="135"/>
      <c r="P51" s="137">
        <f t="shared" ref="P51:P60" si="6">M51-N51</f>
        <v>5</v>
      </c>
      <c r="Q51" s="712">
        <f t="shared" ref="Q51:Q60" si="7">M51-P51</f>
        <v>0</v>
      </c>
    </row>
    <row r="52" spans="1:17" s="121" customFormat="1" ht="31.5" customHeight="1" x14ac:dyDescent="0.25">
      <c r="A52" s="78"/>
      <c r="B52" s="132"/>
      <c r="C52" s="791"/>
      <c r="D52" s="426">
        <v>45083</v>
      </c>
      <c r="E52" s="365" t="s">
        <v>50</v>
      </c>
      <c r="F52" s="93"/>
      <c r="G52" s="426">
        <v>45042</v>
      </c>
      <c r="H52" s="134"/>
      <c r="I52" s="468" t="s">
        <v>258</v>
      </c>
      <c r="J52" s="336" t="s">
        <v>245</v>
      </c>
      <c r="K52" s="513">
        <v>5</v>
      </c>
      <c r="L52" s="135"/>
      <c r="M52" s="87">
        <f t="shared" si="5"/>
        <v>5</v>
      </c>
      <c r="N52" s="130"/>
      <c r="O52" s="135"/>
      <c r="P52" s="137">
        <f t="shared" si="6"/>
        <v>5</v>
      </c>
      <c r="Q52" s="712">
        <f t="shared" si="7"/>
        <v>0</v>
      </c>
    </row>
    <row r="53" spans="1:17" s="121" customFormat="1" ht="31.5" customHeight="1" x14ac:dyDescent="0.25">
      <c r="A53" s="78"/>
      <c r="B53" s="132"/>
      <c r="C53" s="791"/>
      <c r="D53" s="426">
        <v>45083</v>
      </c>
      <c r="E53" s="365" t="s">
        <v>50</v>
      </c>
      <c r="F53" s="93"/>
      <c r="G53" s="426">
        <v>45042</v>
      </c>
      <c r="H53" s="134"/>
      <c r="I53" s="468" t="s">
        <v>259</v>
      </c>
      <c r="J53" s="336" t="s">
        <v>246</v>
      </c>
      <c r="K53" s="513">
        <v>5</v>
      </c>
      <c r="L53" s="135"/>
      <c r="M53" s="87">
        <f t="shared" si="5"/>
        <v>5</v>
      </c>
      <c r="N53" s="130"/>
      <c r="O53" s="135"/>
      <c r="P53" s="137">
        <f t="shared" si="6"/>
        <v>5</v>
      </c>
      <c r="Q53" s="712">
        <f t="shared" si="7"/>
        <v>0</v>
      </c>
    </row>
    <row r="54" spans="1:17" s="121" customFormat="1" ht="31.5" customHeight="1" x14ac:dyDescent="0.25">
      <c r="A54" s="78"/>
      <c r="B54" s="132"/>
      <c r="C54" s="791"/>
      <c r="D54" s="426">
        <v>45083</v>
      </c>
      <c r="E54" s="365" t="s">
        <v>50</v>
      </c>
      <c r="F54" s="93"/>
      <c r="G54" s="426">
        <v>45042</v>
      </c>
      <c r="H54" s="134"/>
      <c r="I54" s="468" t="s">
        <v>260</v>
      </c>
      <c r="J54" s="336" t="s">
        <v>247</v>
      </c>
      <c r="K54" s="513">
        <v>20</v>
      </c>
      <c r="L54" s="135"/>
      <c r="M54" s="87">
        <f t="shared" si="5"/>
        <v>20</v>
      </c>
      <c r="N54" s="130"/>
      <c r="O54" s="135"/>
      <c r="P54" s="137"/>
      <c r="Q54" s="712">
        <f t="shared" si="7"/>
        <v>20</v>
      </c>
    </row>
    <row r="55" spans="1:17" s="121" customFormat="1" ht="31.5" customHeight="1" x14ac:dyDescent="0.25">
      <c r="A55" s="78"/>
      <c r="B55" s="132"/>
      <c r="C55" s="791"/>
      <c r="D55" s="426">
        <v>45083</v>
      </c>
      <c r="E55" s="365" t="s">
        <v>50</v>
      </c>
      <c r="F55" s="93"/>
      <c r="G55" s="426">
        <v>45042</v>
      </c>
      <c r="H55" s="134"/>
      <c r="I55" s="468" t="s">
        <v>261</v>
      </c>
      <c r="J55" s="336" t="s">
        <v>248</v>
      </c>
      <c r="K55" s="513">
        <v>50</v>
      </c>
      <c r="L55" s="135"/>
      <c r="M55" s="87">
        <f t="shared" si="5"/>
        <v>50</v>
      </c>
      <c r="N55" s="130"/>
      <c r="O55" s="135"/>
      <c r="P55" s="137">
        <f t="shared" si="6"/>
        <v>50</v>
      </c>
      <c r="Q55" s="712">
        <f t="shared" si="7"/>
        <v>0</v>
      </c>
    </row>
    <row r="56" spans="1:17" s="121" customFormat="1" ht="27" customHeight="1" x14ac:dyDescent="0.25">
      <c r="A56" s="78"/>
      <c r="B56" s="132"/>
      <c r="C56" s="791"/>
      <c r="D56" s="614">
        <v>45083</v>
      </c>
      <c r="E56" s="615" t="s">
        <v>50</v>
      </c>
      <c r="F56" s="616"/>
      <c r="G56" s="614">
        <v>45042</v>
      </c>
      <c r="H56" s="586"/>
      <c r="I56" s="529" t="s">
        <v>262</v>
      </c>
      <c r="J56" s="481" t="s">
        <v>249</v>
      </c>
      <c r="K56" s="617">
        <v>25</v>
      </c>
      <c r="L56" s="587"/>
      <c r="M56" s="530">
        <f t="shared" si="5"/>
        <v>25</v>
      </c>
      <c r="N56" s="618">
        <v>25</v>
      </c>
      <c r="O56" s="587"/>
      <c r="P56" s="531">
        <f t="shared" si="6"/>
        <v>0</v>
      </c>
      <c r="Q56" s="712">
        <f t="shared" si="7"/>
        <v>25</v>
      </c>
    </row>
    <row r="57" spans="1:17" s="121" customFormat="1" ht="33" customHeight="1" x14ac:dyDescent="0.25">
      <c r="A57" s="78"/>
      <c r="B57" s="132"/>
      <c r="C57" s="791"/>
      <c r="D57" s="426">
        <v>45083</v>
      </c>
      <c r="E57" s="365" t="s">
        <v>50</v>
      </c>
      <c r="F57" s="93"/>
      <c r="G57" s="426">
        <v>45042</v>
      </c>
      <c r="H57" s="134"/>
      <c r="I57" s="468" t="s">
        <v>264</v>
      </c>
      <c r="J57" s="336" t="s">
        <v>251</v>
      </c>
      <c r="K57" s="513">
        <v>2</v>
      </c>
      <c r="L57" s="135"/>
      <c r="M57" s="87">
        <f t="shared" si="5"/>
        <v>2</v>
      </c>
      <c r="N57" s="130"/>
      <c r="O57" s="135"/>
      <c r="P57" s="137">
        <f t="shared" si="6"/>
        <v>2</v>
      </c>
      <c r="Q57" s="712">
        <f t="shared" si="7"/>
        <v>0</v>
      </c>
    </row>
    <row r="58" spans="1:17" s="121" customFormat="1" ht="33" customHeight="1" x14ac:dyDescent="0.25">
      <c r="A58" s="78"/>
      <c r="B58" s="132"/>
      <c r="C58" s="791"/>
      <c r="D58" s="426">
        <v>45083</v>
      </c>
      <c r="E58" s="365" t="s">
        <v>50</v>
      </c>
      <c r="F58" s="93"/>
      <c r="G58" s="426">
        <v>45042</v>
      </c>
      <c r="H58" s="134"/>
      <c r="I58" s="468" t="s">
        <v>265</v>
      </c>
      <c r="J58" s="336" t="s">
        <v>252</v>
      </c>
      <c r="K58" s="513">
        <v>2</v>
      </c>
      <c r="L58" s="135"/>
      <c r="M58" s="87">
        <f t="shared" si="5"/>
        <v>2</v>
      </c>
      <c r="N58" s="130"/>
      <c r="O58" s="135"/>
      <c r="P58" s="137">
        <f t="shared" si="6"/>
        <v>2</v>
      </c>
      <c r="Q58" s="712">
        <f t="shared" si="7"/>
        <v>0</v>
      </c>
    </row>
    <row r="59" spans="1:17" s="121" customFormat="1" ht="33" customHeight="1" x14ac:dyDescent="0.25">
      <c r="A59" s="78"/>
      <c r="B59" s="132"/>
      <c r="C59" s="791"/>
      <c r="D59" s="426">
        <v>45083</v>
      </c>
      <c r="E59" s="365" t="s">
        <v>50</v>
      </c>
      <c r="F59" s="93"/>
      <c r="G59" s="426">
        <v>45042</v>
      </c>
      <c r="H59" s="134"/>
      <c r="I59" s="468" t="s">
        <v>266</v>
      </c>
      <c r="J59" s="336" t="s">
        <v>253</v>
      </c>
      <c r="K59" s="513">
        <v>2</v>
      </c>
      <c r="L59" s="135"/>
      <c r="M59" s="87">
        <f t="shared" si="5"/>
        <v>2</v>
      </c>
      <c r="N59" s="130"/>
      <c r="O59" s="135"/>
      <c r="P59" s="137">
        <f t="shared" si="6"/>
        <v>2</v>
      </c>
      <c r="Q59" s="712">
        <f t="shared" si="7"/>
        <v>0</v>
      </c>
    </row>
    <row r="60" spans="1:17" s="121" customFormat="1" ht="33" customHeight="1" x14ac:dyDescent="0.25">
      <c r="A60" s="78"/>
      <c r="B60" s="132"/>
      <c r="C60" s="818"/>
      <c r="D60" s="426">
        <v>45083</v>
      </c>
      <c r="E60" s="365" t="s">
        <v>50</v>
      </c>
      <c r="F60" s="93"/>
      <c r="G60" s="426">
        <v>45042</v>
      </c>
      <c r="H60" s="134"/>
      <c r="I60" s="468" t="s">
        <v>267</v>
      </c>
      <c r="J60" s="336" t="s">
        <v>254</v>
      </c>
      <c r="K60" s="513">
        <v>2</v>
      </c>
      <c r="L60" s="135"/>
      <c r="M60" s="87">
        <f t="shared" si="5"/>
        <v>2</v>
      </c>
      <c r="N60" s="130"/>
      <c r="O60" s="135"/>
      <c r="P60" s="137">
        <f t="shared" si="6"/>
        <v>2</v>
      </c>
      <c r="Q60" s="712">
        <f t="shared" si="7"/>
        <v>0</v>
      </c>
    </row>
    <row r="61" spans="1:17" s="9" customFormat="1" ht="27.75" customHeight="1" x14ac:dyDescent="0.25">
      <c r="A61" s="97"/>
      <c r="B61" s="330" t="s">
        <v>43</v>
      </c>
      <c r="C61" s="642"/>
      <c r="D61" s="98"/>
      <c r="E61" s="99"/>
      <c r="F61" s="575">
        <f>SUM(F62:F69)</f>
        <v>412196.08999999997</v>
      </c>
      <c r="G61" s="101"/>
      <c r="H61" s="102"/>
      <c r="I61" s="819" t="s">
        <v>772</v>
      </c>
      <c r="J61" s="820"/>
      <c r="K61" s="821"/>
      <c r="L61" s="111"/>
      <c r="M61" s="112"/>
      <c r="N61" s="113"/>
      <c r="O61" s="111"/>
      <c r="P61" s="112"/>
      <c r="Q61" s="712">
        <f t="shared" ref="Q61:Q77" si="8">M61-P61</f>
        <v>0</v>
      </c>
    </row>
    <row r="62" spans="1:17" s="1" customFormat="1" ht="35.25" customHeight="1" x14ac:dyDescent="0.25">
      <c r="A62" s="333"/>
      <c r="B62" s="377"/>
      <c r="C62" s="532" t="s">
        <v>242</v>
      </c>
      <c r="D62" s="436">
        <v>45090</v>
      </c>
      <c r="E62" s="365" t="s">
        <v>50</v>
      </c>
      <c r="F62" s="677">
        <v>288201.3</v>
      </c>
      <c r="G62" s="437">
        <v>45028</v>
      </c>
      <c r="H62" s="421"/>
      <c r="I62" s="468" t="s">
        <v>236</v>
      </c>
      <c r="J62" s="447" t="s">
        <v>235</v>
      </c>
      <c r="K62" s="453">
        <v>1</v>
      </c>
      <c r="L62" s="420"/>
      <c r="M62" s="87">
        <f t="shared" ref="M62:M69" si="9">K62</f>
        <v>1</v>
      </c>
      <c r="N62" s="449"/>
      <c r="O62" s="142"/>
      <c r="P62" s="137">
        <f t="shared" ref="P62" si="10">K62-N62</f>
        <v>1</v>
      </c>
      <c r="Q62" s="712">
        <f t="shared" si="8"/>
        <v>0</v>
      </c>
    </row>
    <row r="63" spans="1:17" s="1" customFormat="1" ht="35.25" customHeight="1" x14ac:dyDescent="0.25">
      <c r="A63" s="333"/>
      <c r="B63" s="377"/>
      <c r="C63" s="532" t="s">
        <v>279</v>
      </c>
      <c r="D63" s="436">
        <v>45137</v>
      </c>
      <c r="E63" s="365" t="s">
        <v>50</v>
      </c>
      <c r="F63" s="677">
        <v>14478.02</v>
      </c>
      <c r="G63" s="437">
        <v>45082</v>
      </c>
      <c r="H63" s="421"/>
      <c r="I63" s="468" t="s">
        <v>280</v>
      </c>
      <c r="J63" s="447" t="s">
        <v>281</v>
      </c>
      <c r="K63" s="453">
        <v>1</v>
      </c>
      <c r="L63" s="420"/>
      <c r="M63" s="87">
        <f t="shared" si="9"/>
        <v>1</v>
      </c>
      <c r="N63" s="449"/>
      <c r="O63" s="142"/>
      <c r="P63" s="137">
        <f>M63-N63</f>
        <v>1</v>
      </c>
      <c r="Q63" s="712">
        <f t="shared" si="8"/>
        <v>0</v>
      </c>
    </row>
    <row r="64" spans="1:17" s="1" customFormat="1" ht="35.25" customHeight="1" x14ac:dyDescent="0.25">
      <c r="A64" s="333"/>
      <c r="B64" s="377"/>
      <c r="C64" s="797" t="s">
        <v>768</v>
      </c>
      <c r="D64" s="436">
        <v>45244</v>
      </c>
      <c r="E64" s="365" t="s">
        <v>60</v>
      </c>
      <c r="F64" s="677"/>
      <c r="G64" s="437">
        <v>45156</v>
      </c>
      <c r="H64" s="421"/>
      <c r="I64" s="468" t="s">
        <v>368</v>
      </c>
      <c r="J64" s="447" t="s">
        <v>365</v>
      </c>
      <c r="K64" s="453">
        <v>2</v>
      </c>
      <c r="L64" s="420"/>
      <c r="M64" s="87">
        <f t="shared" si="9"/>
        <v>2</v>
      </c>
      <c r="N64" s="449"/>
      <c r="O64" s="142"/>
      <c r="P64" s="137">
        <f t="shared" ref="P64:P68" si="11">M64-N64</f>
        <v>2</v>
      </c>
      <c r="Q64" s="712">
        <f t="shared" si="8"/>
        <v>0</v>
      </c>
    </row>
    <row r="65" spans="1:17" s="1" customFormat="1" ht="35.25" customHeight="1" x14ac:dyDescent="0.25">
      <c r="A65" s="333"/>
      <c r="B65" s="377"/>
      <c r="C65" s="797"/>
      <c r="D65" s="436">
        <v>45244</v>
      </c>
      <c r="E65" s="365" t="s">
        <v>60</v>
      </c>
      <c r="F65" s="677"/>
      <c r="G65" s="437">
        <v>45156</v>
      </c>
      <c r="H65" s="421"/>
      <c r="I65" s="468" t="s">
        <v>369</v>
      </c>
      <c r="J65" s="447" t="s">
        <v>366</v>
      </c>
      <c r="K65" s="453">
        <v>1</v>
      </c>
      <c r="L65" s="420"/>
      <c r="M65" s="87">
        <f t="shared" si="9"/>
        <v>1</v>
      </c>
      <c r="N65" s="449"/>
      <c r="O65" s="142"/>
      <c r="P65" s="137">
        <f t="shared" si="11"/>
        <v>1</v>
      </c>
      <c r="Q65" s="712">
        <f t="shared" si="8"/>
        <v>0</v>
      </c>
    </row>
    <row r="66" spans="1:17" s="1" customFormat="1" ht="35.25" customHeight="1" x14ac:dyDescent="0.25">
      <c r="A66" s="333"/>
      <c r="B66" s="377"/>
      <c r="C66" s="797"/>
      <c r="D66" s="436">
        <v>45244</v>
      </c>
      <c r="E66" s="365" t="s">
        <v>60</v>
      </c>
      <c r="F66" s="677"/>
      <c r="G66" s="437">
        <v>45156</v>
      </c>
      <c r="H66" s="421"/>
      <c r="I66" s="468" t="s">
        <v>370</v>
      </c>
      <c r="J66" s="447" t="s">
        <v>367</v>
      </c>
      <c r="K66" s="453">
        <v>1</v>
      </c>
      <c r="L66" s="420"/>
      <c r="M66" s="87">
        <f t="shared" si="9"/>
        <v>1</v>
      </c>
      <c r="N66" s="449"/>
      <c r="O66" s="142"/>
      <c r="P66" s="137">
        <f t="shared" si="11"/>
        <v>1</v>
      </c>
      <c r="Q66" s="712">
        <f t="shared" si="8"/>
        <v>0</v>
      </c>
    </row>
    <row r="67" spans="1:17" s="1" customFormat="1" ht="35.25" customHeight="1" x14ac:dyDescent="0.25">
      <c r="A67" s="333"/>
      <c r="B67" s="377"/>
      <c r="C67" s="798"/>
      <c r="D67" s="436">
        <v>45244</v>
      </c>
      <c r="E67" s="365" t="s">
        <v>60</v>
      </c>
      <c r="F67" s="677">
        <v>55506.74</v>
      </c>
      <c r="G67" s="437">
        <v>45156</v>
      </c>
      <c r="H67" s="421"/>
      <c r="I67" s="468" t="s">
        <v>371</v>
      </c>
      <c r="J67" s="335" t="s">
        <v>208</v>
      </c>
      <c r="K67" s="453">
        <v>30</v>
      </c>
      <c r="L67" s="420"/>
      <c r="M67" s="87">
        <f t="shared" si="9"/>
        <v>30</v>
      </c>
      <c r="N67" s="449"/>
      <c r="O67" s="142"/>
      <c r="P67" s="137">
        <f t="shared" si="11"/>
        <v>30</v>
      </c>
      <c r="Q67" s="712">
        <f t="shared" si="8"/>
        <v>0</v>
      </c>
    </row>
    <row r="68" spans="1:17" s="1" customFormat="1" ht="35.25" customHeight="1" x14ac:dyDescent="0.25">
      <c r="A68" s="333"/>
      <c r="B68" s="377"/>
      <c r="C68" s="532" t="s">
        <v>490</v>
      </c>
      <c r="D68" s="436">
        <v>45301</v>
      </c>
      <c r="E68" s="365" t="s">
        <v>60</v>
      </c>
      <c r="F68" s="677">
        <v>54010.03</v>
      </c>
      <c r="G68" s="437">
        <v>45210</v>
      </c>
      <c r="H68" s="421"/>
      <c r="I68" s="468" t="s">
        <v>492</v>
      </c>
      <c r="J68" s="447" t="s">
        <v>491</v>
      </c>
      <c r="K68" s="453">
        <v>2</v>
      </c>
      <c r="L68" s="420"/>
      <c r="M68" s="87">
        <f t="shared" si="9"/>
        <v>2</v>
      </c>
      <c r="N68" s="449"/>
      <c r="O68" s="142"/>
      <c r="P68" s="137">
        <f t="shared" si="11"/>
        <v>2</v>
      </c>
      <c r="Q68" s="712">
        <f t="shared" si="8"/>
        <v>0</v>
      </c>
    </row>
    <row r="69" spans="1:17" s="1" customFormat="1" ht="32.25" customHeight="1" x14ac:dyDescent="0.25">
      <c r="A69" s="333"/>
      <c r="B69" s="377"/>
      <c r="C69" s="488" t="s">
        <v>769</v>
      </c>
      <c r="D69" s="436">
        <v>45199</v>
      </c>
      <c r="E69" s="365" t="s">
        <v>50</v>
      </c>
      <c r="F69" s="677"/>
      <c r="G69" s="437">
        <v>45154</v>
      </c>
      <c r="H69" s="421"/>
      <c r="I69" s="468" t="s">
        <v>382</v>
      </c>
      <c r="J69" s="447" t="s">
        <v>228</v>
      </c>
      <c r="K69" s="453">
        <v>15</v>
      </c>
      <c r="L69" s="420"/>
      <c r="M69" s="87">
        <f t="shared" si="9"/>
        <v>15</v>
      </c>
      <c r="N69" s="449">
        <v>1</v>
      </c>
      <c r="O69" s="142"/>
      <c r="P69" s="137">
        <f>M69-N69</f>
        <v>14</v>
      </c>
      <c r="Q69" s="712">
        <f t="shared" si="8"/>
        <v>1</v>
      </c>
    </row>
    <row r="70" spans="1:17" s="1" customFormat="1" ht="16.5" customHeight="1" x14ac:dyDescent="0.25">
      <c r="A70" s="474"/>
      <c r="B70" s="462" t="s">
        <v>111</v>
      </c>
      <c r="C70" s="641"/>
      <c r="D70" s="486"/>
      <c r="E70" s="475"/>
      <c r="F70" s="476"/>
      <c r="G70" s="477"/>
      <c r="H70" s="463"/>
      <c r="I70" s="478"/>
      <c r="J70" s="479"/>
      <c r="K70" s="480"/>
      <c r="L70" s="464"/>
      <c r="M70" s="54"/>
      <c r="N70" s="55"/>
      <c r="O70" s="464"/>
      <c r="P70" s="465"/>
      <c r="Q70" s="712">
        <f t="shared" si="8"/>
        <v>0</v>
      </c>
    </row>
    <row r="71" spans="1:17" s="9" customFormat="1" ht="25.5" customHeight="1" x14ac:dyDescent="0.25">
      <c r="A71" s="78"/>
      <c r="B71" s="527"/>
      <c r="C71" s="643" t="s">
        <v>562</v>
      </c>
      <c r="D71" s="351">
        <v>45209</v>
      </c>
      <c r="E71" s="337" t="s">
        <v>50</v>
      </c>
      <c r="F71" s="380"/>
      <c r="G71" s="351">
        <v>45086</v>
      </c>
      <c r="H71" s="328"/>
      <c r="I71" s="338" t="s">
        <v>289</v>
      </c>
      <c r="J71" s="335" t="s">
        <v>288</v>
      </c>
      <c r="K71" s="453">
        <v>1</v>
      </c>
      <c r="L71" s="329"/>
      <c r="M71" s="87">
        <f t="shared" ref="M71:M74" si="12">K71</f>
        <v>1</v>
      </c>
      <c r="N71" s="449"/>
      <c r="O71" s="142"/>
      <c r="P71" s="137">
        <f t="shared" ref="P71:P74" si="13">M71-N71</f>
        <v>1</v>
      </c>
      <c r="Q71" s="712">
        <f t="shared" si="8"/>
        <v>0</v>
      </c>
    </row>
    <row r="72" spans="1:17" s="9" customFormat="1" ht="25.5" customHeight="1" x14ac:dyDescent="0.25">
      <c r="A72" s="78"/>
      <c r="B72" s="527"/>
      <c r="C72" s="644" t="s">
        <v>671</v>
      </c>
      <c r="D72" s="351">
        <v>45407</v>
      </c>
      <c r="E72" s="337" t="s">
        <v>50</v>
      </c>
      <c r="F72" s="380"/>
      <c r="G72" s="351">
        <v>45286</v>
      </c>
      <c r="H72" s="328"/>
      <c r="I72" s="338" t="s">
        <v>672</v>
      </c>
      <c r="J72" s="335" t="s">
        <v>673</v>
      </c>
      <c r="K72" s="453">
        <v>3</v>
      </c>
      <c r="L72" s="329"/>
      <c r="M72" s="87">
        <f t="shared" si="12"/>
        <v>3</v>
      </c>
      <c r="N72" s="449"/>
      <c r="O72" s="142"/>
      <c r="P72" s="137">
        <f t="shared" si="13"/>
        <v>3</v>
      </c>
      <c r="Q72" s="712">
        <f t="shared" si="8"/>
        <v>0</v>
      </c>
    </row>
    <row r="73" spans="1:17" s="9" customFormat="1" ht="25.5" customHeight="1" x14ac:dyDescent="0.25">
      <c r="A73" s="78"/>
      <c r="B73" s="527"/>
      <c r="C73" s="644" t="s">
        <v>757</v>
      </c>
      <c r="D73" s="351">
        <v>45429</v>
      </c>
      <c r="E73" s="337" t="s">
        <v>50</v>
      </c>
      <c r="F73" s="380"/>
      <c r="G73" s="351">
        <v>45329</v>
      </c>
      <c r="H73" s="328"/>
      <c r="I73" s="338" t="s">
        <v>755</v>
      </c>
      <c r="J73" s="335" t="s">
        <v>756</v>
      </c>
      <c r="K73" s="453">
        <v>2</v>
      </c>
      <c r="L73" s="329"/>
      <c r="M73" s="87">
        <f t="shared" si="12"/>
        <v>2</v>
      </c>
      <c r="N73" s="449"/>
      <c r="O73" s="142"/>
      <c r="P73" s="137">
        <f t="shared" si="13"/>
        <v>2</v>
      </c>
      <c r="Q73" s="712">
        <f t="shared" si="8"/>
        <v>0</v>
      </c>
    </row>
    <row r="74" spans="1:17" s="9" customFormat="1" ht="25.5" customHeight="1" x14ac:dyDescent="0.25">
      <c r="A74" s="78"/>
      <c r="B74" s="79"/>
      <c r="C74" s="710" t="s">
        <v>809</v>
      </c>
      <c r="D74" s="708">
        <v>45355</v>
      </c>
      <c r="E74" s="337" t="s">
        <v>50</v>
      </c>
      <c r="F74" s="709"/>
      <c r="G74" s="708">
        <v>45349</v>
      </c>
      <c r="H74" s="421"/>
      <c r="I74" s="338" t="s">
        <v>807</v>
      </c>
      <c r="J74" s="335" t="s">
        <v>808</v>
      </c>
      <c r="K74" s="453">
        <v>30</v>
      </c>
      <c r="L74" s="420"/>
      <c r="M74" s="87">
        <f t="shared" si="12"/>
        <v>30</v>
      </c>
      <c r="N74" s="449"/>
      <c r="O74" s="142"/>
      <c r="P74" s="137">
        <f t="shared" si="13"/>
        <v>30</v>
      </c>
      <c r="Q74" s="712">
        <f t="shared" si="8"/>
        <v>0</v>
      </c>
    </row>
    <row r="75" spans="1:17" s="56" customFormat="1" ht="21.75" customHeight="1" x14ac:dyDescent="0.25">
      <c r="A75" s="41"/>
      <c r="B75" s="516" t="s">
        <v>95</v>
      </c>
      <c r="C75" s="639"/>
      <c r="D75" s="44"/>
      <c r="E75" s="45"/>
      <c r="F75" s="46"/>
      <c r="G75" s="47"/>
      <c r="H75" s="460"/>
      <c r="I75" s="49"/>
      <c r="J75" s="50"/>
      <c r="K75" s="51"/>
      <c r="L75" s="461"/>
      <c r="M75" s="54"/>
      <c r="N75" s="55"/>
      <c r="O75" s="461"/>
      <c r="P75" s="54"/>
      <c r="Q75" s="712">
        <f t="shared" si="8"/>
        <v>0</v>
      </c>
    </row>
    <row r="76" spans="1:17" s="9" customFormat="1" ht="25.5" customHeight="1" x14ac:dyDescent="0.25">
      <c r="A76" s="78"/>
      <c r="B76" s="379"/>
      <c r="C76" s="826" t="s">
        <v>360</v>
      </c>
      <c r="D76" s="552">
        <v>45291</v>
      </c>
      <c r="E76" s="365" t="s">
        <v>60</v>
      </c>
      <c r="F76" s="553"/>
      <c r="G76" s="351">
        <v>45141</v>
      </c>
      <c r="H76" s="328"/>
      <c r="I76" s="338" t="s">
        <v>361</v>
      </c>
      <c r="J76" s="335" t="s">
        <v>363</v>
      </c>
      <c r="K76" s="443">
        <v>1</v>
      </c>
      <c r="L76" s="458"/>
      <c r="M76" s="137">
        <f t="shared" ref="M76:M78" si="14">K76</f>
        <v>1</v>
      </c>
      <c r="N76" s="164"/>
      <c r="O76" s="438"/>
      <c r="P76" s="87">
        <f t="shared" ref="P76:P78" si="15">M76-N76</f>
        <v>1</v>
      </c>
      <c r="Q76" s="712">
        <f t="shared" si="8"/>
        <v>0</v>
      </c>
    </row>
    <row r="77" spans="1:17" s="9" customFormat="1" ht="25.5" customHeight="1" x14ac:dyDescent="0.25">
      <c r="A77" s="78"/>
      <c r="B77" s="379"/>
      <c r="C77" s="827"/>
      <c r="D77" s="552">
        <v>45291</v>
      </c>
      <c r="E77" s="428" t="s">
        <v>60</v>
      </c>
      <c r="F77" s="553"/>
      <c r="G77" s="351">
        <v>45110</v>
      </c>
      <c r="H77" s="328"/>
      <c r="I77" s="338" t="s">
        <v>362</v>
      </c>
      <c r="J77" s="335" t="s">
        <v>364</v>
      </c>
      <c r="K77" s="443">
        <v>1</v>
      </c>
      <c r="L77" s="458"/>
      <c r="M77" s="137">
        <f t="shared" si="14"/>
        <v>1</v>
      </c>
      <c r="N77" s="164">
        <v>1</v>
      </c>
      <c r="O77" s="438"/>
      <c r="P77" s="87">
        <f t="shared" si="15"/>
        <v>0</v>
      </c>
      <c r="Q77" s="712">
        <f t="shared" si="8"/>
        <v>1</v>
      </c>
    </row>
    <row r="78" spans="1:17" s="9" customFormat="1" ht="35.25" customHeight="1" x14ac:dyDescent="0.25">
      <c r="A78" s="78"/>
      <c r="B78" s="79"/>
      <c r="C78" s="644" t="s">
        <v>845</v>
      </c>
      <c r="D78" s="708">
        <v>45407</v>
      </c>
      <c r="E78" s="337" t="s">
        <v>60</v>
      </c>
      <c r="F78" s="709"/>
      <c r="G78" s="708">
        <v>45363</v>
      </c>
      <c r="H78" s="421"/>
      <c r="I78" s="338" t="s">
        <v>843</v>
      </c>
      <c r="J78" s="335" t="s">
        <v>844</v>
      </c>
      <c r="K78" s="443">
        <v>6</v>
      </c>
      <c r="L78" s="420"/>
      <c r="M78" s="87">
        <f t="shared" si="14"/>
        <v>6</v>
      </c>
      <c r="N78" s="449"/>
      <c r="O78" s="142"/>
      <c r="P78" s="137">
        <f t="shared" si="15"/>
        <v>6</v>
      </c>
      <c r="Q78" s="712"/>
    </row>
    <row r="79" spans="1:17" s="56" customFormat="1" ht="21" customHeight="1" x14ac:dyDescent="0.25">
      <c r="A79" s="41"/>
      <c r="B79" s="459" t="s">
        <v>588</v>
      </c>
      <c r="C79" s="639"/>
      <c r="D79" s="44"/>
      <c r="E79" s="45"/>
      <c r="F79" s="46"/>
      <c r="G79" s="47"/>
      <c r="H79" s="460"/>
      <c r="I79" s="49"/>
      <c r="J79" s="50"/>
      <c r="K79" s="51"/>
      <c r="L79" s="461"/>
      <c r="M79" s="54"/>
      <c r="N79" s="55"/>
      <c r="O79" s="461"/>
      <c r="P79" s="54"/>
      <c r="Q79" s="712">
        <f t="shared" ref="Q79:Q87" si="16">M79-P79</f>
        <v>0</v>
      </c>
    </row>
    <row r="80" spans="1:17" s="1" customFormat="1" ht="42.75" customHeight="1" x14ac:dyDescent="0.25">
      <c r="A80" s="333"/>
      <c r="B80" s="703"/>
      <c r="C80" s="704" t="s">
        <v>589</v>
      </c>
      <c r="D80" s="559">
        <v>45316</v>
      </c>
      <c r="E80" s="560" t="s">
        <v>50</v>
      </c>
      <c r="F80" s="558"/>
      <c r="G80" s="705">
        <v>45258</v>
      </c>
      <c r="H80" s="421"/>
      <c r="I80" s="338" t="s">
        <v>590</v>
      </c>
      <c r="J80" s="335" t="s">
        <v>219</v>
      </c>
      <c r="K80" s="453">
        <v>1</v>
      </c>
      <c r="L80" s="420"/>
      <c r="M80" s="137">
        <f t="shared" ref="M80:M87" si="17">K80</f>
        <v>1</v>
      </c>
      <c r="N80" s="164">
        <v>1</v>
      </c>
      <c r="O80" s="438"/>
      <c r="P80" s="87">
        <f t="shared" ref="P80:P87" si="18">M80-N80</f>
        <v>0</v>
      </c>
      <c r="Q80" s="712">
        <f t="shared" si="16"/>
        <v>1</v>
      </c>
    </row>
    <row r="81" spans="1:17" s="9" customFormat="1" ht="25.5" customHeight="1" x14ac:dyDescent="0.25">
      <c r="A81" s="78"/>
      <c r="B81" s="379"/>
      <c r="C81" s="707" t="s">
        <v>787</v>
      </c>
      <c r="D81" s="552">
        <v>45349</v>
      </c>
      <c r="E81" s="428" t="s">
        <v>786</v>
      </c>
      <c r="F81" s="702"/>
      <c r="G81" s="351">
        <v>45341</v>
      </c>
      <c r="H81" s="328"/>
      <c r="I81" s="338" t="s">
        <v>785</v>
      </c>
      <c r="J81" s="335" t="s">
        <v>788</v>
      </c>
      <c r="K81" s="453">
        <v>1</v>
      </c>
      <c r="L81" s="458"/>
      <c r="M81" s="137">
        <f t="shared" si="17"/>
        <v>1</v>
      </c>
      <c r="N81" s="164">
        <v>1</v>
      </c>
      <c r="O81" s="438"/>
      <c r="P81" s="87">
        <f t="shared" si="18"/>
        <v>0</v>
      </c>
      <c r="Q81" s="712">
        <f t="shared" si="16"/>
        <v>1</v>
      </c>
    </row>
    <row r="82" spans="1:17" s="9" customFormat="1" ht="25.5" customHeight="1" x14ac:dyDescent="0.25">
      <c r="A82" s="78"/>
      <c r="B82" s="379"/>
      <c r="C82" s="825" t="s">
        <v>804</v>
      </c>
      <c r="D82" s="552">
        <v>45407</v>
      </c>
      <c r="E82" s="428" t="s">
        <v>50</v>
      </c>
      <c r="F82" s="702"/>
      <c r="G82" s="351">
        <v>45349</v>
      </c>
      <c r="H82" s="328"/>
      <c r="I82" s="338" t="s">
        <v>792</v>
      </c>
      <c r="J82" s="335" t="s">
        <v>793</v>
      </c>
      <c r="K82" s="443">
        <v>2</v>
      </c>
      <c r="L82" s="458"/>
      <c r="M82" s="137">
        <f t="shared" si="17"/>
        <v>2</v>
      </c>
      <c r="N82" s="164"/>
      <c r="O82" s="438"/>
      <c r="P82" s="87">
        <f t="shared" si="18"/>
        <v>2</v>
      </c>
      <c r="Q82" s="712">
        <f t="shared" si="16"/>
        <v>0</v>
      </c>
    </row>
    <row r="83" spans="1:17" s="9" customFormat="1" ht="25.5" customHeight="1" x14ac:dyDescent="0.25">
      <c r="A83" s="78"/>
      <c r="B83" s="379"/>
      <c r="C83" s="825"/>
      <c r="D83" s="552">
        <v>45407</v>
      </c>
      <c r="E83" s="428" t="s">
        <v>50</v>
      </c>
      <c r="F83" s="702"/>
      <c r="G83" s="351">
        <v>45349</v>
      </c>
      <c r="H83" s="328"/>
      <c r="I83" s="338" t="s">
        <v>794</v>
      </c>
      <c r="J83" s="335" t="s">
        <v>795</v>
      </c>
      <c r="K83" s="443">
        <v>8</v>
      </c>
      <c r="L83" s="458"/>
      <c r="M83" s="137">
        <f t="shared" si="17"/>
        <v>8</v>
      </c>
      <c r="N83" s="164"/>
      <c r="O83" s="438"/>
      <c r="P83" s="87">
        <f t="shared" si="18"/>
        <v>8</v>
      </c>
      <c r="Q83" s="712">
        <f t="shared" si="16"/>
        <v>0</v>
      </c>
    </row>
    <row r="84" spans="1:17" s="9" customFormat="1" ht="25.5" customHeight="1" x14ac:dyDescent="0.25">
      <c r="A84" s="78"/>
      <c r="B84" s="379"/>
      <c r="C84" s="825"/>
      <c r="D84" s="552">
        <v>45407</v>
      </c>
      <c r="E84" s="428" t="s">
        <v>50</v>
      </c>
      <c r="F84" s="702"/>
      <c r="G84" s="351">
        <v>45349</v>
      </c>
      <c r="H84" s="328"/>
      <c r="I84" s="338" t="s">
        <v>796</v>
      </c>
      <c r="J84" s="335" t="s">
        <v>797</v>
      </c>
      <c r="K84" s="443">
        <v>1</v>
      </c>
      <c r="L84" s="458"/>
      <c r="M84" s="137">
        <f t="shared" si="17"/>
        <v>1</v>
      </c>
      <c r="N84" s="164"/>
      <c r="O84" s="438"/>
      <c r="P84" s="87">
        <f t="shared" si="18"/>
        <v>1</v>
      </c>
      <c r="Q84" s="712">
        <f t="shared" si="16"/>
        <v>0</v>
      </c>
    </row>
    <row r="85" spans="1:17" s="9" customFormat="1" ht="25.5" customHeight="1" x14ac:dyDescent="0.25">
      <c r="A85" s="78"/>
      <c r="B85" s="379"/>
      <c r="C85" s="825"/>
      <c r="D85" s="552">
        <v>45407</v>
      </c>
      <c r="E85" s="428" t="s">
        <v>50</v>
      </c>
      <c r="F85" s="702"/>
      <c r="G85" s="351">
        <v>45349</v>
      </c>
      <c r="H85" s="328"/>
      <c r="I85" s="338" t="s">
        <v>798</v>
      </c>
      <c r="J85" s="335" t="s">
        <v>799</v>
      </c>
      <c r="K85" s="443">
        <v>6</v>
      </c>
      <c r="L85" s="458"/>
      <c r="M85" s="137">
        <f t="shared" si="17"/>
        <v>6</v>
      </c>
      <c r="N85" s="164"/>
      <c r="O85" s="438"/>
      <c r="P85" s="87">
        <f t="shared" si="18"/>
        <v>6</v>
      </c>
      <c r="Q85" s="712">
        <f t="shared" si="16"/>
        <v>0</v>
      </c>
    </row>
    <row r="86" spans="1:17" s="9" customFormat="1" ht="25.5" customHeight="1" x14ac:dyDescent="0.25">
      <c r="A86" s="78"/>
      <c r="B86" s="379"/>
      <c r="C86" s="825"/>
      <c r="D86" s="552">
        <v>45407</v>
      </c>
      <c r="E86" s="428" t="s">
        <v>50</v>
      </c>
      <c r="F86" s="702"/>
      <c r="G86" s="351">
        <v>45349</v>
      </c>
      <c r="H86" s="328"/>
      <c r="I86" s="338" t="s">
        <v>800</v>
      </c>
      <c r="J86" s="335" t="s">
        <v>801</v>
      </c>
      <c r="K86" s="443">
        <v>1</v>
      </c>
      <c r="L86" s="458"/>
      <c r="M86" s="137">
        <f t="shared" si="17"/>
        <v>1</v>
      </c>
      <c r="N86" s="164"/>
      <c r="O86" s="438"/>
      <c r="P86" s="87">
        <f t="shared" si="18"/>
        <v>1</v>
      </c>
      <c r="Q86" s="712">
        <f t="shared" si="16"/>
        <v>0</v>
      </c>
    </row>
    <row r="87" spans="1:17" s="9" customFormat="1" ht="25.5" customHeight="1" x14ac:dyDescent="0.25">
      <c r="A87" s="78"/>
      <c r="B87" s="379"/>
      <c r="C87" s="803"/>
      <c r="D87" s="552">
        <v>45407</v>
      </c>
      <c r="E87" s="428" t="s">
        <v>50</v>
      </c>
      <c r="F87" s="702"/>
      <c r="G87" s="351">
        <v>45349</v>
      </c>
      <c r="H87" s="328"/>
      <c r="I87" s="338" t="s">
        <v>802</v>
      </c>
      <c r="J87" s="335" t="s">
        <v>803</v>
      </c>
      <c r="K87" s="443">
        <v>4</v>
      </c>
      <c r="L87" s="458"/>
      <c r="M87" s="137">
        <f t="shared" si="17"/>
        <v>4</v>
      </c>
      <c r="N87" s="164">
        <v>2</v>
      </c>
      <c r="O87" s="438"/>
      <c r="P87" s="87">
        <f t="shared" si="18"/>
        <v>2</v>
      </c>
      <c r="Q87" s="712">
        <f t="shared" si="16"/>
        <v>2</v>
      </c>
    </row>
    <row r="88" spans="1:17" s="56" customFormat="1" ht="17.25" customHeight="1" x14ac:dyDescent="0.25">
      <c r="A88" s="41"/>
      <c r="B88" s="462" t="s">
        <v>82</v>
      </c>
      <c r="C88" s="639"/>
      <c r="D88" s="44"/>
      <c r="E88" s="45"/>
      <c r="F88" s="46"/>
      <c r="G88" s="47"/>
      <c r="H88" s="48"/>
      <c r="I88" s="49"/>
      <c r="J88" s="50"/>
      <c r="K88" s="51"/>
      <c r="L88" s="53"/>
      <c r="M88" s="54"/>
      <c r="N88" s="55"/>
      <c r="O88" s="53"/>
      <c r="P88" s="54"/>
      <c r="Q88" s="712">
        <f t="shared" ref="Q88:Q152" si="19">M88-P88</f>
        <v>0</v>
      </c>
    </row>
    <row r="89" spans="1:17" s="9" customFormat="1" ht="29.25" customHeight="1" x14ac:dyDescent="0.25">
      <c r="A89" s="89"/>
      <c r="B89" s="379"/>
      <c r="C89" s="800" t="s">
        <v>113</v>
      </c>
      <c r="D89" s="519"/>
      <c r="E89" s="428" t="s">
        <v>112</v>
      </c>
      <c r="F89" s="520"/>
      <c r="G89" s="108">
        <v>44755</v>
      </c>
      <c r="H89" s="457"/>
      <c r="I89" s="338" t="s">
        <v>114</v>
      </c>
      <c r="J89" s="335" t="s">
        <v>117</v>
      </c>
      <c r="K89" s="443">
        <v>1</v>
      </c>
      <c r="L89" s="458"/>
      <c r="M89" s="137">
        <f t="shared" ref="M89:M91" si="20">K89</f>
        <v>1</v>
      </c>
      <c r="N89" s="164"/>
      <c r="O89" s="438"/>
      <c r="P89" s="87">
        <f t="shared" ref="P89:P91" si="21">M89-N89</f>
        <v>1</v>
      </c>
      <c r="Q89" s="712">
        <f t="shared" si="19"/>
        <v>0</v>
      </c>
    </row>
    <row r="90" spans="1:17" s="9" customFormat="1" ht="35.25" customHeight="1" x14ac:dyDescent="0.25">
      <c r="A90" s="89"/>
      <c r="B90" s="379"/>
      <c r="C90" s="800"/>
      <c r="D90" s="473"/>
      <c r="E90" s="428" t="s">
        <v>112</v>
      </c>
      <c r="F90" s="456"/>
      <c r="G90" s="390">
        <v>44755</v>
      </c>
      <c r="H90" s="457"/>
      <c r="I90" s="338" t="s">
        <v>115</v>
      </c>
      <c r="J90" s="335" t="s">
        <v>118</v>
      </c>
      <c r="K90" s="443">
        <v>1</v>
      </c>
      <c r="L90" s="458"/>
      <c r="M90" s="137">
        <f t="shared" si="20"/>
        <v>1</v>
      </c>
      <c r="N90" s="164"/>
      <c r="O90" s="438"/>
      <c r="P90" s="87">
        <f t="shared" si="21"/>
        <v>1</v>
      </c>
      <c r="Q90" s="712">
        <f t="shared" si="19"/>
        <v>0</v>
      </c>
    </row>
    <row r="91" spans="1:17" s="9" customFormat="1" ht="37.5" customHeight="1" x14ac:dyDescent="0.25">
      <c r="A91" s="89"/>
      <c r="B91" s="379"/>
      <c r="C91" s="801"/>
      <c r="D91" s="473"/>
      <c r="E91" s="428" t="s">
        <v>112</v>
      </c>
      <c r="F91" s="456"/>
      <c r="G91" s="390">
        <v>44755</v>
      </c>
      <c r="H91" s="457"/>
      <c r="I91" s="338" t="s">
        <v>116</v>
      </c>
      <c r="J91" s="335" t="s">
        <v>119</v>
      </c>
      <c r="K91" s="443">
        <v>1</v>
      </c>
      <c r="L91" s="458"/>
      <c r="M91" s="137">
        <f t="shared" si="20"/>
        <v>1</v>
      </c>
      <c r="N91" s="164"/>
      <c r="O91" s="438"/>
      <c r="P91" s="87">
        <f t="shared" si="21"/>
        <v>1</v>
      </c>
      <c r="Q91" s="712">
        <f t="shared" si="19"/>
        <v>0</v>
      </c>
    </row>
    <row r="92" spans="1:17" s="9" customFormat="1" ht="16.5" customHeight="1" x14ac:dyDescent="0.25">
      <c r="A92" s="97"/>
      <c r="B92" s="369" t="s">
        <v>231</v>
      </c>
      <c r="C92" s="642"/>
      <c r="D92" s="98"/>
      <c r="E92" s="99"/>
      <c r="F92" s="100"/>
      <c r="G92" s="101"/>
      <c r="H92" s="102"/>
      <c r="I92" s="103"/>
      <c r="J92" s="105"/>
      <c r="K92" s="106"/>
      <c r="L92" s="53"/>
      <c r="M92" s="54"/>
      <c r="N92" s="55"/>
      <c r="O92" s="53"/>
      <c r="P92" s="54"/>
      <c r="Q92" s="712">
        <f t="shared" si="19"/>
        <v>0</v>
      </c>
    </row>
    <row r="93" spans="1:17" s="9" customFormat="1" ht="26.4" x14ac:dyDescent="0.25">
      <c r="A93" s="89"/>
      <c r="B93" s="379"/>
      <c r="C93" s="802" t="s">
        <v>489</v>
      </c>
      <c r="D93" s="473">
        <v>44995</v>
      </c>
      <c r="E93" s="365" t="s">
        <v>60</v>
      </c>
      <c r="F93" s="456"/>
      <c r="G93" s="390">
        <v>45212</v>
      </c>
      <c r="H93" s="457"/>
      <c r="I93" s="338" t="s">
        <v>487</v>
      </c>
      <c r="J93" s="335" t="s">
        <v>485</v>
      </c>
      <c r="K93" s="443">
        <v>2</v>
      </c>
      <c r="L93" s="458"/>
      <c r="M93" s="137">
        <v>2</v>
      </c>
      <c r="N93" s="442"/>
      <c r="O93" s="438"/>
      <c r="P93" s="87">
        <f t="shared" ref="P93:P94" si="22">M93-N93</f>
        <v>2</v>
      </c>
      <c r="Q93" s="712">
        <f t="shared" si="19"/>
        <v>0</v>
      </c>
    </row>
    <row r="94" spans="1:17" s="9" customFormat="1" ht="26.4" x14ac:dyDescent="0.25">
      <c r="A94" s="89"/>
      <c r="B94" s="379"/>
      <c r="C94" s="803"/>
      <c r="D94" s="473">
        <v>44995</v>
      </c>
      <c r="E94" s="508" t="s">
        <v>60</v>
      </c>
      <c r="F94" s="456"/>
      <c r="G94" s="390">
        <v>45212</v>
      </c>
      <c r="H94" s="457"/>
      <c r="I94" s="338" t="s">
        <v>488</v>
      </c>
      <c r="J94" s="335" t="s">
        <v>486</v>
      </c>
      <c r="K94" s="443">
        <v>2</v>
      </c>
      <c r="L94" s="458"/>
      <c r="M94" s="137">
        <v>2</v>
      </c>
      <c r="N94" s="442"/>
      <c r="O94" s="438"/>
      <c r="P94" s="87">
        <f t="shared" si="22"/>
        <v>2</v>
      </c>
      <c r="Q94" s="712">
        <f t="shared" si="19"/>
        <v>0</v>
      </c>
    </row>
    <row r="95" spans="1:17" s="9" customFormat="1" ht="16.5" customHeight="1" x14ac:dyDescent="0.25">
      <c r="A95" s="97"/>
      <c r="B95" s="330" t="s">
        <v>61</v>
      </c>
      <c r="C95" s="642"/>
      <c r="D95" s="98"/>
      <c r="E95" s="99"/>
      <c r="F95" s="569">
        <f>SUM(F96:F96)</f>
        <v>0</v>
      </c>
      <c r="G95" s="101"/>
      <c r="H95" s="102"/>
      <c r="I95" s="103"/>
      <c r="J95" s="105"/>
      <c r="K95" s="106"/>
      <c r="L95" s="111"/>
      <c r="M95" s="112"/>
      <c r="N95" s="52"/>
      <c r="O95" s="111"/>
      <c r="P95" s="52"/>
      <c r="Q95" s="712">
        <f t="shared" si="19"/>
        <v>0</v>
      </c>
    </row>
    <row r="96" spans="1:17" s="1" customFormat="1" ht="41.25" customHeight="1" x14ac:dyDescent="0.25">
      <c r="A96" s="333"/>
      <c r="B96" s="377"/>
      <c r="C96" s="470" t="s">
        <v>418</v>
      </c>
      <c r="D96" s="436">
        <v>45280</v>
      </c>
      <c r="E96" s="428" t="s">
        <v>50</v>
      </c>
      <c r="F96" s="570" t="s">
        <v>505</v>
      </c>
      <c r="G96" s="437">
        <v>44413</v>
      </c>
      <c r="H96" s="421"/>
      <c r="I96" s="338" t="s">
        <v>86</v>
      </c>
      <c r="J96" s="447" t="s">
        <v>526</v>
      </c>
      <c r="K96" s="454">
        <v>40</v>
      </c>
      <c r="L96" s="420"/>
      <c r="M96" s="137">
        <f>K96</f>
        <v>40</v>
      </c>
      <c r="N96" s="442"/>
      <c r="O96" s="438"/>
      <c r="P96" s="87">
        <f t="shared" ref="P96:P111" si="23">M96-N96</f>
        <v>40</v>
      </c>
      <c r="Q96" s="712">
        <f t="shared" si="19"/>
        <v>0</v>
      </c>
    </row>
    <row r="97" spans="1:17" s="9" customFormat="1" ht="30.75" customHeight="1" x14ac:dyDescent="0.25">
      <c r="A97" s="78"/>
      <c r="B97" s="79"/>
      <c r="C97" s="547" t="s">
        <v>418</v>
      </c>
      <c r="D97" s="436">
        <v>45240</v>
      </c>
      <c r="E97" s="428" t="s">
        <v>50</v>
      </c>
      <c r="F97" s="524"/>
      <c r="G97" s="390">
        <v>45182</v>
      </c>
      <c r="H97" s="525"/>
      <c r="I97" s="468" t="s">
        <v>407</v>
      </c>
      <c r="J97" s="335" t="s">
        <v>316</v>
      </c>
      <c r="K97" s="443">
        <v>1</v>
      </c>
      <c r="L97" s="526"/>
      <c r="M97" s="137">
        <f t="shared" ref="M97:M111" si="24">K97</f>
        <v>1</v>
      </c>
      <c r="N97" s="442"/>
      <c r="O97" s="438"/>
      <c r="P97" s="137">
        <f t="shared" si="23"/>
        <v>1</v>
      </c>
      <c r="Q97" s="712">
        <f t="shared" si="19"/>
        <v>0</v>
      </c>
    </row>
    <row r="98" spans="1:17" s="9" customFormat="1" ht="30.75" customHeight="1" x14ac:dyDescent="0.25">
      <c r="A98" s="78"/>
      <c r="B98" s="79"/>
      <c r="C98" s="547" t="s">
        <v>568</v>
      </c>
      <c r="D98" s="436">
        <v>44951</v>
      </c>
      <c r="E98" s="428" t="s">
        <v>50</v>
      </c>
      <c r="F98" s="524"/>
      <c r="G98" s="390">
        <v>45246</v>
      </c>
      <c r="H98" s="525"/>
      <c r="I98" s="468" t="s">
        <v>567</v>
      </c>
      <c r="J98" s="335" t="s">
        <v>292</v>
      </c>
      <c r="K98" s="443">
        <v>8</v>
      </c>
      <c r="L98" s="526"/>
      <c r="M98" s="137">
        <f t="shared" si="24"/>
        <v>8</v>
      </c>
      <c r="N98" s="442">
        <v>8</v>
      </c>
      <c r="O98" s="438"/>
      <c r="P98" s="137">
        <f t="shared" si="23"/>
        <v>0</v>
      </c>
      <c r="Q98" s="712">
        <f t="shared" si="19"/>
        <v>8</v>
      </c>
    </row>
    <row r="99" spans="1:17" s="9" customFormat="1" ht="30.75" customHeight="1" x14ac:dyDescent="0.25">
      <c r="A99" s="78"/>
      <c r="B99" s="79"/>
      <c r="C99" s="547" t="s">
        <v>570</v>
      </c>
      <c r="D99" s="436">
        <v>45250</v>
      </c>
      <c r="E99" s="428" t="s">
        <v>50</v>
      </c>
      <c r="F99" s="524"/>
      <c r="G99" s="390">
        <v>45246</v>
      </c>
      <c r="H99" s="525"/>
      <c r="I99" s="468" t="s">
        <v>571</v>
      </c>
      <c r="J99" s="335" t="s">
        <v>569</v>
      </c>
      <c r="K99" s="443">
        <v>2</v>
      </c>
      <c r="L99" s="526"/>
      <c r="M99" s="137">
        <f t="shared" si="24"/>
        <v>2</v>
      </c>
      <c r="N99" s="442"/>
      <c r="O99" s="438"/>
      <c r="P99" s="137">
        <f t="shared" si="23"/>
        <v>2</v>
      </c>
      <c r="Q99" s="712">
        <f t="shared" si="19"/>
        <v>0</v>
      </c>
    </row>
    <row r="100" spans="1:17" s="9" customFormat="1" ht="30.75" customHeight="1" x14ac:dyDescent="0.25">
      <c r="A100" s="78"/>
      <c r="B100" s="79"/>
      <c r="C100" s="547" t="s">
        <v>570</v>
      </c>
      <c r="D100" s="436">
        <v>45250</v>
      </c>
      <c r="E100" s="428" t="s">
        <v>50</v>
      </c>
      <c r="F100" s="524"/>
      <c r="G100" s="390">
        <v>45246</v>
      </c>
      <c r="H100" s="525"/>
      <c r="I100" s="468" t="s">
        <v>572</v>
      </c>
      <c r="J100" s="335" t="s">
        <v>573</v>
      </c>
      <c r="K100" s="443">
        <v>2</v>
      </c>
      <c r="L100" s="526"/>
      <c r="M100" s="137">
        <f t="shared" si="24"/>
        <v>2</v>
      </c>
      <c r="N100" s="442"/>
      <c r="O100" s="438"/>
      <c r="P100" s="137">
        <f t="shared" si="23"/>
        <v>2</v>
      </c>
      <c r="Q100" s="712">
        <f t="shared" si="19"/>
        <v>0</v>
      </c>
    </row>
    <row r="101" spans="1:17" s="9" customFormat="1" ht="36.75" customHeight="1" x14ac:dyDescent="0.25">
      <c r="A101" s="78"/>
      <c r="B101" s="79"/>
      <c r="C101" s="547" t="s">
        <v>575</v>
      </c>
      <c r="D101" s="436">
        <v>44951</v>
      </c>
      <c r="E101" s="428" t="s">
        <v>50</v>
      </c>
      <c r="F101" s="524"/>
      <c r="G101" s="390">
        <v>45250</v>
      </c>
      <c r="H101" s="525"/>
      <c r="I101" s="468" t="s">
        <v>574</v>
      </c>
      <c r="J101" s="335" t="s">
        <v>292</v>
      </c>
      <c r="K101" s="443">
        <v>8</v>
      </c>
      <c r="L101" s="526"/>
      <c r="M101" s="137">
        <f t="shared" si="24"/>
        <v>8</v>
      </c>
      <c r="N101" s="442">
        <v>4</v>
      </c>
      <c r="O101" s="438"/>
      <c r="P101" s="137">
        <f t="shared" si="23"/>
        <v>4</v>
      </c>
      <c r="Q101" s="712">
        <f t="shared" si="19"/>
        <v>4</v>
      </c>
    </row>
    <row r="102" spans="1:17" s="9" customFormat="1" ht="36.75" customHeight="1" x14ac:dyDescent="0.25">
      <c r="A102" s="78"/>
      <c r="B102" s="79"/>
      <c r="C102" s="547" t="s">
        <v>424</v>
      </c>
      <c r="D102" s="436">
        <v>45261</v>
      </c>
      <c r="E102" s="428" t="s">
        <v>50</v>
      </c>
      <c r="F102" s="524"/>
      <c r="G102" s="390">
        <v>45189</v>
      </c>
      <c r="H102" s="525"/>
      <c r="I102" s="468" t="s">
        <v>425</v>
      </c>
      <c r="J102" s="335" t="s">
        <v>315</v>
      </c>
      <c r="K102" s="443">
        <v>8</v>
      </c>
      <c r="L102" s="526"/>
      <c r="M102" s="137">
        <f t="shared" si="24"/>
        <v>8</v>
      </c>
      <c r="N102" s="442"/>
      <c r="O102" s="438"/>
      <c r="P102" s="137">
        <f t="shared" si="23"/>
        <v>8</v>
      </c>
      <c r="Q102" s="712">
        <f t="shared" si="19"/>
        <v>0</v>
      </c>
    </row>
    <row r="103" spans="1:17" s="9" customFormat="1" ht="32.25" customHeight="1" x14ac:dyDescent="0.25">
      <c r="A103" s="78"/>
      <c r="B103" s="79"/>
      <c r="C103" s="514" t="s">
        <v>309</v>
      </c>
      <c r="D103" s="436">
        <v>45117</v>
      </c>
      <c r="E103" s="428" t="s">
        <v>50</v>
      </c>
      <c r="F103" s="524"/>
      <c r="G103" s="390">
        <v>45086</v>
      </c>
      <c r="H103" s="525"/>
      <c r="I103" s="468" t="s">
        <v>293</v>
      </c>
      <c r="J103" s="335" t="s">
        <v>292</v>
      </c>
      <c r="K103" s="443">
        <v>4</v>
      </c>
      <c r="L103" s="526"/>
      <c r="M103" s="137">
        <f t="shared" si="24"/>
        <v>4</v>
      </c>
      <c r="N103" s="442"/>
      <c r="O103" s="438"/>
      <c r="P103" s="137">
        <f t="shared" si="23"/>
        <v>4</v>
      </c>
      <c r="Q103" s="712">
        <f t="shared" si="19"/>
        <v>0</v>
      </c>
    </row>
    <row r="104" spans="1:17" s="9" customFormat="1" ht="32.25" customHeight="1" x14ac:dyDescent="0.25">
      <c r="A104" s="78"/>
      <c r="B104" s="79"/>
      <c r="C104" s="804" t="s">
        <v>686</v>
      </c>
      <c r="D104" s="436">
        <v>45321</v>
      </c>
      <c r="E104" s="428" t="s">
        <v>50</v>
      </c>
      <c r="F104" s="524"/>
      <c r="G104" s="390">
        <v>45288</v>
      </c>
      <c r="H104" s="525"/>
      <c r="I104" s="468" t="s">
        <v>688</v>
      </c>
      <c r="J104" s="335" t="s">
        <v>310</v>
      </c>
      <c r="K104" s="443">
        <v>3</v>
      </c>
      <c r="L104" s="526"/>
      <c r="M104" s="137">
        <f t="shared" si="24"/>
        <v>3</v>
      </c>
      <c r="N104" s="442">
        <v>3</v>
      </c>
      <c r="O104" s="438"/>
      <c r="P104" s="137">
        <f t="shared" si="23"/>
        <v>0</v>
      </c>
      <c r="Q104" s="712">
        <f t="shared" si="19"/>
        <v>3</v>
      </c>
    </row>
    <row r="105" spans="1:17" s="9" customFormat="1" ht="41.25" customHeight="1" x14ac:dyDescent="0.25">
      <c r="A105" s="78"/>
      <c r="B105" s="79"/>
      <c r="C105" s="807"/>
      <c r="D105" s="436">
        <v>45332</v>
      </c>
      <c r="E105" s="428" t="s">
        <v>50</v>
      </c>
      <c r="F105" s="524"/>
      <c r="G105" s="390">
        <v>45288</v>
      </c>
      <c r="H105" s="525"/>
      <c r="I105" s="468" t="s">
        <v>695</v>
      </c>
      <c r="J105" s="335" t="s">
        <v>318</v>
      </c>
      <c r="K105" s="443">
        <v>2</v>
      </c>
      <c r="L105" s="526"/>
      <c r="M105" s="137">
        <f t="shared" si="24"/>
        <v>2</v>
      </c>
      <c r="N105" s="442">
        <v>2</v>
      </c>
      <c r="O105" s="438"/>
      <c r="P105" s="137">
        <f t="shared" si="23"/>
        <v>0</v>
      </c>
      <c r="Q105" s="712">
        <f t="shared" si="19"/>
        <v>2</v>
      </c>
    </row>
    <row r="106" spans="1:17" s="9" customFormat="1" ht="32.25" customHeight="1" x14ac:dyDescent="0.25">
      <c r="A106" s="78"/>
      <c r="B106" s="79"/>
      <c r="C106" s="804" t="s">
        <v>658</v>
      </c>
      <c r="D106" s="436">
        <v>45347</v>
      </c>
      <c r="E106" s="428" t="s">
        <v>50</v>
      </c>
      <c r="F106" s="718" t="s">
        <v>877</v>
      </c>
      <c r="G106" s="390">
        <v>45275</v>
      </c>
      <c r="H106" s="525"/>
      <c r="I106" s="468" t="s">
        <v>653</v>
      </c>
      <c r="J106" s="335" t="s">
        <v>315</v>
      </c>
      <c r="K106" s="443">
        <v>4</v>
      </c>
      <c r="L106" s="526"/>
      <c r="M106" s="137">
        <f t="shared" si="24"/>
        <v>4</v>
      </c>
      <c r="N106" s="442"/>
      <c r="O106" s="438"/>
      <c r="P106" s="137">
        <f t="shared" si="23"/>
        <v>4</v>
      </c>
      <c r="Q106" s="712">
        <f t="shared" si="19"/>
        <v>0</v>
      </c>
    </row>
    <row r="107" spans="1:17" s="9" customFormat="1" ht="66" x14ac:dyDescent="0.25">
      <c r="A107" s="78"/>
      <c r="B107" s="79"/>
      <c r="C107" s="805"/>
      <c r="D107" s="436">
        <v>45347</v>
      </c>
      <c r="E107" s="428" t="s">
        <v>50</v>
      </c>
      <c r="F107" s="524"/>
      <c r="G107" s="390">
        <v>45275</v>
      </c>
      <c r="H107" s="525"/>
      <c r="I107" s="468" t="s">
        <v>654</v>
      </c>
      <c r="J107" s="335" t="s">
        <v>350</v>
      </c>
      <c r="K107" s="443">
        <v>1</v>
      </c>
      <c r="L107" s="526"/>
      <c r="M107" s="137">
        <f t="shared" si="24"/>
        <v>1</v>
      </c>
      <c r="N107" s="442">
        <v>1</v>
      </c>
      <c r="O107" s="438"/>
      <c r="P107" s="137">
        <f t="shared" si="23"/>
        <v>0</v>
      </c>
      <c r="Q107" s="712">
        <f t="shared" si="19"/>
        <v>1</v>
      </c>
    </row>
    <row r="108" spans="1:17" s="9" customFormat="1" ht="66" x14ac:dyDescent="0.25">
      <c r="A108" s="78"/>
      <c r="B108" s="79"/>
      <c r="C108" s="805"/>
      <c r="D108" s="436">
        <v>45347</v>
      </c>
      <c r="E108" s="428" t="s">
        <v>50</v>
      </c>
      <c r="F108" s="524"/>
      <c r="G108" s="390">
        <v>45275</v>
      </c>
      <c r="H108" s="525"/>
      <c r="I108" s="468" t="s">
        <v>655</v>
      </c>
      <c r="J108" s="335" t="s">
        <v>351</v>
      </c>
      <c r="K108" s="443">
        <v>1</v>
      </c>
      <c r="L108" s="526"/>
      <c r="M108" s="137">
        <f t="shared" si="24"/>
        <v>1</v>
      </c>
      <c r="N108" s="629">
        <v>1</v>
      </c>
      <c r="O108" s="438"/>
      <c r="P108" s="137">
        <f t="shared" si="23"/>
        <v>0</v>
      </c>
      <c r="Q108" s="712">
        <f t="shared" si="19"/>
        <v>1</v>
      </c>
    </row>
    <row r="109" spans="1:17" s="9" customFormat="1" ht="52.8" x14ac:dyDescent="0.25">
      <c r="A109" s="78"/>
      <c r="B109" s="79"/>
      <c r="C109" s="805"/>
      <c r="D109" s="436">
        <v>45347</v>
      </c>
      <c r="E109" s="428" t="s">
        <v>50</v>
      </c>
      <c r="F109" s="524"/>
      <c r="G109" s="390">
        <v>45275</v>
      </c>
      <c r="H109" s="525"/>
      <c r="I109" s="468" t="s">
        <v>656</v>
      </c>
      <c r="J109" s="335" t="s">
        <v>352</v>
      </c>
      <c r="K109" s="443">
        <v>1</v>
      </c>
      <c r="L109" s="526"/>
      <c r="M109" s="137">
        <f t="shared" si="24"/>
        <v>1</v>
      </c>
      <c r="N109" s="629">
        <v>1</v>
      </c>
      <c r="O109" s="438"/>
      <c r="P109" s="137">
        <f t="shared" si="23"/>
        <v>0</v>
      </c>
      <c r="Q109" s="712">
        <f t="shared" si="19"/>
        <v>1</v>
      </c>
    </row>
    <row r="110" spans="1:17" s="9" customFormat="1" ht="52.8" x14ac:dyDescent="0.25">
      <c r="A110" s="78"/>
      <c r="B110" s="79"/>
      <c r="C110" s="805"/>
      <c r="D110" s="436">
        <v>45347</v>
      </c>
      <c r="E110" s="428" t="s">
        <v>50</v>
      </c>
      <c r="F110" s="718" t="s">
        <v>877</v>
      </c>
      <c r="G110" s="390">
        <v>45275</v>
      </c>
      <c r="H110" s="525"/>
      <c r="I110" s="468" t="s">
        <v>657</v>
      </c>
      <c r="J110" s="335" t="s">
        <v>353</v>
      </c>
      <c r="K110" s="443">
        <v>1</v>
      </c>
      <c r="L110" s="526"/>
      <c r="M110" s="137">
        <f t="shared" si="24"/>
        <v>1</v>
      </c>
      <c r="N110" s="442"/>
      <c r="O110" s="438"/>
      <c r="P110" s="137">
        <f t="shared" si="23"/>
        <v>1</v>
      </c>
      <c r="Q110" s="712">
        <f t="shared" si="19"/>
        <v>0</v>
      </c>
    </row>
    <row r="111" spans="1:17" s="9" customFormat="1" ht="33.75" customHeight="1" x14ac:dyDescent="0.25">
      <c r="A111" s="89"/>
      <c r="B111" s="379"/>
      <c r="C111" s="590" t="s">
        <v>817</v>
      </c>
      <c r="D111" s="455" t="s">
        <v>816</v>
      </c>
      <c r="E111" s="428" t="s">
        <v>50</v>
      </c>
      <c r="F111" s="456"/>
      <c r="G111" s="83">
        <v>45352</v>
      </c>
      <c r="H111" s="457"/>
      <c r="I111" s="338" t="s">
        <v>814</v>
      </c>
      <c r="J111" s="335" t="s">
        <v>815</v>
      </c>
      <c r="K111" s="443">
        <v>20</v>
      </c>
      <c r="L111" s="458"/>
      <c r="M111" s="137">
        <f t="shared" si="24"/>
        <v>20</v>
      </c>
      <c r="N111" s="433">
        <f>15+5</f>
        <v>20</v>
      </c>
      <c r="O111" s="438"/>
      <c r="P111" s="87">
        <f t="shared" si="23"/>
        <v>0</v>
      </c>
      <c r="Q111" s="712">
        <f t="shared" si="19"/>
        <v>20</v>
      </c>
    </row>
    <row r="112" spans="1:17" s="56" customFormat="1" ht="15" x14ac:dyDescent="0.25">
      <c r="A112" s="41"/>
      <c r="B112" s="334" t="s">
        <v>275</v>
      </c>
      <c r="C112" s="640"/>
      <c r="D112" s="44"/>
      <c r="E112" s="45"/>
      <c r="F112" s="46"/>
      <c r="G112" s="47"/>
      <c r="H112" s="48"/>
      <c r="I112" s="49"/>
      <c r="J112" s="50"/>
      <c r="K112" s="51"/>
      <c r="L112" s="53"/>
      <c r="M112" s="54"/>
      <c r="N112" s="55"/>
      <c r="O112" s="53"/>
      <c r="P112" s="54"/>
      <c r="Q112" s="712">
        <f t="shared" si="19"/>
        <v>0</v>
      </c>
    </row>
    <row r="113" spans="1:18" s="56" customFormat="1" ht="18" customHeight="1" x14ac:dyDescent="0.25">
      <c r="A113" s="41"/>
      <c r="B113" s="330" t="s">
        <v>871</v>
      </c>
      <c r="C113" s="642"/>
      <c r="D113" s="44"/>
      <c r="E113" s="45"/>
      <c r="F113" s="46"/>
      <c r="G113" s="47"/>
      <c r="H113" s="48"/>
      <c r="I113" s="49"/>
      <c r="J113" s="50"/>
      <c r="K113" s="51"/>
      <c r="L113" s="53"/>
      <c r="M113" s="49"/>
      <c r="N113" s="55"/>
      <c r="O113" s="53"/>
      <c r="P113" s="54"/>
      <c r="Q113" s="712">
        <f t="shared" si="19"/>
        <v>0</v>
      </c>
    </row>
    <row r="114" spans="1:18" s="9" customFormat="1" ht="33.75" customHeight="1" x14ac:dyDescent="0.25">
      <c r="A114" s="89"/>
      <c r="B114" s="379"/>
      <c r="C114" s="711" t="s">
        <v>872</v>
      </c>
      <c r="D114" s="717">
        <v>45494</v>
      </c>
      <c r="E114" s="428" t="s">
        <v>103</v>
      </c>
      <c r="F114" s="456"/>
      <c r="G114" s="331">
        <v>45373</v>
      </c>
      <c r="H114" s="457"/>
      <c r="I114" s="338" t="s">
        <v>873</v>
      </c>
      <c r="J114" s="335" t="s">
        <v>874</v>
      </c>
      <c r="K114" s="443">
        <v>1</v>
      </c>
      <c r="L114" s="458"/>
      <c r="M114" s="137">
        <f t="shared" ref="M114" si="25">K114</f>
        <v>1</v>
      </c>
      <c r="N114" s="433"/>
      <c r="O114" s="438"/>
      <c r="P114" s="87">
        <f t="shared" ref="P114" si="26">M114-N114</f>
        <v>1</v>
      </c>
      <c r="Q114" s="712">
        <f t="shared" ref="Q114" si="27">M114-P114</f>
        <v>0</v>
      </c>
    </row>
    <row r="115" spans="1:18" s="56" customFormat="1" ht="15" x14ac:dyDescent="0.25">
      <c r="A115" s="41"/>
      <c r="B115" s="369" t="s">
        <v>467</v>
      </c>
      <c r="C115" s="640"/>
      <c r="D115" s="44"/>
      <c r="E115" s="45"/>
      <c r="F115" s="46"/>
      <c r="G115" s="47"/>
      <c r="H115" s="48"/>
      <c r="I115" s="49"/>
      <c r="J115" s="50"/>
      <c r="K115" s="51"/>
      <c r="L115" s="53"/>
      <c r="M115" s="54"/>
      <c r="N115" s="55"/>
      <c r="O115" s="53"/>
      <c r="P115" s="54"/>
      <c r="Q115" s="712">
        <f t="shared" si="19"/>
        <v>0</v>
      </c>
    </row>
    <row r="116" spans="1:18" s="9" customFormat="1" ht="33.75" customHeight="1" x14ac:dyDescent="0.25">
      <c r="A116" s="89"/>
      <c r="B116" s="379"/>
      <c r="C116" s="711" t="s">
        <v>578</v>
      </c>
      <c r="D116" s="455">
        <v>45371</v>
      </c>
      <c r="E116" s="428" t="s">
        <v>50</v>
      </c>
      <c r="F116" s="456"/>
      <c r="G116" s="83">
        <v>45251</v>
      </c>
      <c r="H116" s="457"/>
      <c r="I116" s="338" t="s">
        <v>579</v>
      </c>
      <c r="J116" s="335" t="s">
        <v>580</v>
      </c>
      <c r="K116" s="443">
        <v>4</v>
      </c>
      <c r="L116" s="458"/>
      <c r="M116" s="137">
        <f t="shared" ref="M116" si="28">K116</f>
        <v>4</v>
      </c>
      <c r="N116" s="433"/>
      <c r="O116" s="438"/>
      <c r="P116" s="87">
        <f t="shared" ref="P116" si="29">M116-N116</f>
        <v>4</v>
      </c>
      <c r="Q116" s="712">
        <f t="shared" si="19"/>
        <v>0</v>
      </c>
    </row>
    <row r="117" spans="1:18" s="9" customFormat="1" ht="17.25" customHeight="1" x14ac:dyDescent="0.25">
      <c r="A117" s="97"/>
      <c r="B117" s="334" t="s">
        <v>53</v>
      </c>
      <c r="C117" s="642"/>
      <c r="D117" s="98"/>
      <c r="E117" s="99"/>
      <c r="F117" s="569">
        <f>SUM(F118:F175)</f>
        <v>0</v>
      </c>
      <c r="G117" s="101"/>
      <c r="H117" s="102"/>
      <c r="I117" s="103"/>
      <c r="J117" s="105"/>
      <c r="K117" s="106"/>
      <c r="L117" s="53"/>
      <c r="M117" s="54"/>
      <c r="N117" s="55"/>
      <c r="O117" s="53"/>
      <c r="P117" s="54"/>
      <c r="Q117" s="712">
        <f t="shared" si="19"/>
        <v>0</v>
      </c>
    </row>
    <row r="118" spans="1:18" s="9" customFormat="1" ht="33.75" customHeight="1" x14ac:dyDescent="0.25">
      <c r="A118" s="89"/>
      <c r="B118" s="379"/>
      <c r="C118" s="510" t="s">
        <v>156</v>
      </c>
      <c r="D118" s="455">
        <v>45016</v>
      </c>
      <c r="E118" s="428" t="s">
        <v>50</v>
      </c>
      <c r="F118" s="456"/>
      <c r="G118" s="83">
        <v>44911</v>
      </c>
      <c r="H118" s="457"/>
      <c r="I118" s="338" t="s">
        <v>155</v>
      </c>
      <c r="J118" s="335" t="s">
        <v>154</v>
      </c>
      <c r="K118" s="443">
        <v>5</v>
      </c>
      <c r="L118" s="458"/>
      <c r="M118" s="137">
        <f t="shared" ref="M118:M172" si="30">K118</f>
        <v>5</v>
      </c>
      <c r="N118" s="433">
        <v>5</v>
      </c>
      <c r="O118" s="438"/>
      <c r="P118" s="87">
        <f t="shared" ref="P118:P172" si="31">M118-N118</f>
        <v>0</v>
      </c>
      <c r="Q118" s="712">
        <f t="shared" si="19"/>
        <v>5</v>
      </c>
    </row>
    <row r="119" spans="1:18" s="9" customFormat="1" ht="33.75" customHeight="1" x14ac:dyDescent="0.25">
      <c r="A119" s="89"/>
      <c r="B119" s="379"/>
      <c r="C119" s="534" t="s">
        <v>158</v>
      </c>
      <c r="D119" s="455">
        <v>45066</v>
      </c>
      <c r="E119" s="428" t="s">
        <v>50</v>
      </c>
      <c r="F119" s="456"/>
      <c r="G119" s="83">
        <v>44907</v>
      </c>
      <c r="H119" s="457"/>
      <c r="I119" s="338" t="s">
        <v>157</v>
      </c>
      <c r="J119" s="335" t="s">
        <v>154</v>
      </c>
      <c r="K119" s="443">
        <v>15</v>
      </c>
      <c r="L119" s="458"/>
      <c r="M119" s="137">
        <f t="shared" si="30"/>
        <v>15</v>
      </c>
      <c r="N119" s="433">
        <v>2</v>
      </c>
      <c r="O119" s="438"/>
      <c r="P119" s="87">
        <f t="shared" si="31"/>
        <v>13</v>
      </c>
      <c r="Q119" s="712">
        <f t="shared" si="19"/>
        <v>2</v>
      </c>
    </row>
    <row r="120" spans="1:18" s="9" customFormat="1" ht="37.5" customHeight="1" x14ac:dyDescent="0.25">
      <c r="A120" s="89"/>
      <c r="B120" s="379"/>
      <c r="C120" s="514" t="s">
        <v>215</v>
      </c>
      <c r="D120" s="455">
        <v>45046</v>
      </c>
      <c r="E120" s="428" t="s">
        <v>50</v>
      </c>
      <c r="F120" s="456"/>
      <c r="G120" s="83">
        <v>44970</v>
      </c>
      <c r="H120" s="457"/>
      <c r="I120" s="338" t="s">
        <v>214</v>
      </c>
      <c r="J120" s="335" t="s">
        <v>126</v>
      </c>
      <c r="K120" s="443">
        <v>1</v>
      </c>
      <c r="L120" s="458"/>
      <c r="M120" s="137">
        <f t="shared" si="30"/>
        <v>1</v>
      </c>
      <c r="N120" s="433">
        <v>1</v>
      </c>
      <c r="O120" s="438"/>
      <c r="P120" s="87">
        <f t="shared" si="31"/>
        <v>0</v>
      </c>
      <c r="Q120" s="712">
        <f t="shared" si="19"/>
        <v>1</v>
      </c>
    </row>
    <row r="121" spans="1:18" s="9" customFormat="1" ht="35.25" customHeight="1" x14ac:dyDescent="0.25">
      <c r="A121" s="89"/>
      <c r="B121" s="379"/>
      <c r="C121" s="514" t="s">
        <v>344</v>
      </c>
      <c r="D121" s="455">
        <v>45260</v>
      </c>
      <c r="E121" s="428" t="s">
        <v>60</v>
      </c>
      <c r="F121" s="456"/>
      <c r="G121" s="83">
        <v>45132</v>
      </c>
      <c r="H121" s="457"/>
      <c r="I121" s="338" t="s">
        <v>345</v>
      </c>
      <c r="J121" s="335" t="s">
        <v>343</v>
      </c>
      <c r="K121" s="443">
        <v>1</v>
      </c>
      <c r="L121" s="458"/>
      <c r="M121" s="137">
        <f t="shared" si="30"/>
        <v>1</v>
      </c>
      <c r="N121" s="433">
        <v>1</v>
      </c>
      <c r="O121" s="438"/>
      <c r="P121" s="87">
        <f t="shared" si="31"/>
        <v>0</v>
      </c>
      <c r="Q121" s="712">
        <f t="shared" si="19"/>
        <v>1</v>
      </c>
    </row>
    <row r="122" spans="1:18" s="9" customFormat="1" ht="29.25" customHeight="1" x14ac:dyDescent="0.25">
      <c r="A122" s="89"/>
      <c r="B122" s="379"/>
      <c r="C122" s="509" t="s">
        <v>304</v>
      </c>
      <c r="D122" s="455">
        <v>45283</v>
      </c>
      <c r="E122" s="428" t="s">
        <v>50</v>
      </c>
      <c r="F122" s="520"/>
      <c r="G122" s="83">
        <v>45100</v>
      </c>
      <c r="H122" s="457"/>
      <c r="I122" s="338" t="s">
        <v>306</v>
      </c>
      <c r="J122" s="335" t="s">
        <v>305</v>
      </c>
      <c r="K122" s="443">
        <v>1</v>
      </c>
      <c r="L122" s="458"/>
      <c r="M122" s="137">
        <f t="shared" si="30"/>
        <v>1</v>
      </c>
      <c r="N122" s="433"/>
      <c r="O122" s="438"/>
      <c r="P122" s="87">
        <f t="shared" si="31"/>
        <v>1</v>
      </c>
      <c r="Q122" s="712">
        <f t="shared" si="19"/>
        <v>0</v>
      </c>
    </row>
    <row r="123" spans="1:18" s="9" customFormat="1" ht="36" customHeight="1" x14ac:dyDescent="0.25">
      <c r="A123" s="89"/>
      <c r="B123" s="379"/>
      <c r="C123" s="510" t="s">
        <v>328</v>
      </c>
      <c r="D123" s="455">
        <v>45255</v>
      </c>
      <c r="E123" s="428" t="s">
        <v>50</v>
      </c>
      <c r="F123" s="520"/>
      <c r="G123" s="83">
        <v>45118</v>
      </c>
      <c r="H123" s="457"/>
      <c r="I123" s="338" t="s">
        <v>329</v>
      </c>
      <c r="J123" s="335" t="s">
        <v>290</v>
      </c>
      <c r="K123" s="443">
        <v>6</v>
      </c>
      <c r="L123" s="458"/>
      <c r="M123" s="137">
        <v>3</v>
      </c>
      <c r="N123" s="433">
        <v>3</v>
      </c>
      <c r="O123" s="438"/>
      <c r="P123" s="87">
        <f t="shared" si="31"/>
        <v>0</v>
      </c>
      <c r="Q123" s="712">
        <f t="shared" si="19"/>
        <v>3</v>
      </c>
    </row>
    <row r="124" spans="1:18" s="9" customFormat="1" ht="36" customHeight="1" x14ac:dyDescent="0.25">
      <c r="A124" s="89"/>
      <c r="B124" s="379"/>
      <c r="C124" s="510" t="s">
        <v>330</v>
      </c>
      <c r="D124" s="455">
        <v>45277</v>
      </c>
      <c r="E124" s="428" t="s">
        <v>50</v>
      </c>
      <c r="F124" s="520"/>
      <c r="G124" s="83">
        <v>45124</v>
      </c>
      <c r="H124" s="457"/>
      <c r="I124" s="338" t="s">
        <v>332</v>
      </c>
      <c r="J124" s="335" t="s">
        <v>331</v>
      </c>
      <c r="K124" s="443">
        <v>2</v>
      </c>
      <c r="L124" s="458"/>
      <c r="M124" s="137">
        <f t="shared" si="30"/>
        <v>2</v>
      </c>
      <c r="N124" s="433">
        <v>2</v>
      </c>
      <c r="O124" s="438"/>
      <c r="P124" s="87">
        <f t="shared" si="31"/>
        <v>0</v>
      </c>
      <c r="Q124" s="712">
        <f t="shared" si="19"/>
        <v>2</v>
      </c>
    </row>
    <row r="125" spans="1:18" s="9" customFormat="1" ht="28.5" customHeight="1" x14ac:dyDescent="0.25">
      <c r="A125" s="89"/>
      <c r="B125" s="379"/>
      <c r="C125" s="510" t="s">
        <v>330</v>
      </c>
      <c r="D125" s="455">
        <v>45277</v>
      </c>
      <c r="E125" s="428" t="s">
        <v>50</v>
      </c>
      <c r="F125" s="520"/>
      <c r="G125" s="83">
        <v>45124</v>
      </c>
      <c r="H125" s="457"/>
      <c r="I125" s="338" t="s">
        <v>333</v>
      </c>
      <c r="J125" s="335" t="s">
        <v>168</v>
      </c>
      <c r="K125" s="443">
        <v>1</v>
      </c>
      <c r="L125" s="458"/>
      <c r="M125" s="137">
        <f t="shared" si="30"/>
        <v>1</v>
      </c>
      <c r="N125" s="433"/>
      <c r="O125" s="438"/>
      <c r="P125" s="87">
        <f t="shared" si="31"/>
        <v>1</v>
      </c>
      <c r="Q125" s="712">
        <f t="shared" si="19"/>
        <v>0</v>
      </c>
      <c r="R125" s="1" t="s">
        <v>1</v>
      </c>
    </row>
    <row r="126" spans="1:18" s="9" customFormat="1" ht="28.5" customHeight="1" x14ac:dyDescent="0.25">
      <c r="A126" s="89"/>
      <c r="B126" s="379"/>
      <c r="C126" s="810" t="s">
        <v>334</v>
      </c>
      <c r="D126" s="455">
        <v>45278</v>
      </c>
      <c r="E126" s="428" t="s">
        <v>50</v>
      </c>
      <c r="F126" s="520"/>
      <c r="G126" s="83">
        <v>45124</v>
      </c>
      <c r="H126" s="457"/>
      <c r="I126" s="338" t="s">
        <v>337</v>
      </c>
      <c r="J126" s="335" t="s">
        <v>335</v>
      </c>
      <c r="K126" s="443">
        <v>1</v>
      </c>
      <c r="L126" s="458"/>
      <c r="M126" s="137">
        <f t="shared" si="30"/>
        <v>1</v>
      </c>
      <c r="N126" s="433"/>
      <c r="O126" s="438"/>
      <c r="P126" s="87">
        <f t="shared" si="31"/>
        <v>1</v>
      </c>
      <c r="Q126" s="712">
        <f t="shared" si="19"/>
        <v>0</v>
      </c>
    </row>
    <row r="127" spans="1:18" s="9" customFormat="1" ht="28.5" customHeight="1" x14ac:dyDescent="0.25">
      <c r="A127" s="89"/>
      <c r="B127" s="379"/>
      <c r="C127" s="811"/>
      <c r="D127" s="455">
        <v>45278</v>
      </c>
      <c r="E127" s="428" t="s">
        <v>50</v>
      </c>
      <c r="F127" s="520"/>
      <c r="G127" s="83">
        <v>45124</v>
      </c>
      <c r="H127" s="457"/>
      <c r="I127" s="338" t="s">
        <v>338</v>
      </c>
      <c r="J127" s="335" t="s">
        <v>227</v>
      </c>
      <c r="K127" s="443">
        <v>1</v>
      </c>
      <c r="L127" s="458"/>
      <c r="M127" s="137">
        <f t="shared" si="30"/>
        <v>1</v>
      </c>
      <c r="N127" s="433"/>
      <c r="O127" s="438"/>
      <c r="P127" s="87">
        <f t="shared" si="31"/>
        <v>1</v>
      </c>
      <c r="Q127" s="712">
        <f t="shared" si="19"/>
        <v>0</v>
      </c>
    </row>
    <row r="128" spans="1:18" s="9" customFormat="1" ht="39" customHeight="1" x14ac:dyDescent="0.25">
      <c r="A128" s="89"/>
      <c r="B128" s="379"/>
      <c r="C128" s="812" t="s">
        <v>344</v>
      </c>
      <c r="D128" s="455">
        <v>45316</v>
      </c>
      <c r="E128" s="428" t="s">
        <v>50</v>
      </c>
      <c r="F128" s="520"/>
      <c r="G128" s="83">
        <v>45142</v>
      </c>
      <c r="H128" s="457"/>
      <c r="I128" s="338" t="s">
        <v>358</v>
      </c>
      <c r="J128" s="335" t="s">
        <v>354</v>
      </c>
      <c r="K128" s="443">
        <v>4</v>
      </c>
      <c r="L128" s="458"/>
      <c r="M128" s="137">
        <f t="shared" si="30"/>
        <v>4</v>
      </c>
      <c r="N128" s="433">
        <v>4</v>
      </c>
      <c r="O128" s="438"/>
      <c r="P128" s="87">
        <f t="shared" si="31"/>
        <v>0</v>
      </c>
      <c r="Q128" s="712">
        <f t="shared" si="19"/>
        <v>4</v>
      </c>
    </row>
    <row r="129" spans="1:17" s="9" customFormat="1" ht="39" customHeight="1" x14ac:dyDescent="0.25">
      <c r="A129" s="89"/>
      <c r="B129" s="379"/>
      <c r="C129" s="812"/>
      <c r="D129" s="455">
        <v>45316</v>
      </c>
      <c r="E129" s="428" t="s">
        <v>50</v>
      </c>
      <c r="F129" s="520"/>
      <c r="G129" s="83">
        <v>45142</v>
      </c>
      <c r="H129" s="457"/>
      <c r="I129" s="338" t="s">
        <v>359</v>
      </c>
      <c r="J129" s="335" t="s">
        <v>355</v>
      </c>
      <c r="K129" s="443">
        <v>6</v>
      </c>
      <c r="L129" s="458"/>
      <c r="M129" s="137">
        <f t="shared" si="30"/>
        <v>6</v>
      </c>
      <c r="N129" s="433"/>
      <c r="O129" s="438"/>
      <c r="P129" s="87">
        <f t="shared" si="31"/>
        <v>6</v>
      </c>
      <c r="Q129" s="712">
        <f t="shared" si="19"/>
        <v>0</v>
      </c>
    </row>
    <row r="130" spans="1:17" s="9" customFormat="1" ht="39" customHeight="1" x14ac:dyDescent="0.25">
      <c r="A130" s="89"/>
      <c r="B130" s="379"/>
      <c r="C130" s="514" t="s">
        <v>356</v>
      </c>
      <c r="D130" s="455">
        <v>45316</v>
      </c>
      <c r="E130" s="428" t="s">
        <v>50</v>
      </c>
      <c r="F130" s="577"/>
      <c r="G130" s="83">
        <v>45142</v>
      </c>
      <c r="H130" s="457"/>
      <c r="I130" s="338" t="s">
        <v>357</v>
      </c>
      <c r="J130" s="335" t="s">
        <v>336</v>
      </c>
      <c r="K130" s="443">
        <v>4</v>
      </c>
      <c r="L130" s="458"/>
      <c r="M130" s="137">
        <f t="shared" si="30"/>
        <v>4</v>
      </c>
      <c r="N130" s="433">
        <v>4</v>
      </c>
      <c r="O130" s="438"/>
      <c r="P130" s="87">
        <f t="shared" si="31"/>
        <v>0</v>
      </c>
      <c r="Q130" s="712">
        <f t="shared" si="19"/>
        <v>4</v>
      </c>
    </row>
    <row r="131" spans="1:17" s="9" customFormat="1" ht="33" customHeight="1" x14ac:dyDescent="0.25">
      <c r="A131" s="89"/>
      <c r="B131" s="379"/>
      <c r="C131" s="810" t="s">
        <v>380</v>
      </c>
      <c r="D131" s="455">
        <v>45276</v>
      </c>
      <c r="E131" s="428" t="s">
        <v>50</v>
      </c>
      <c r="F131" s="520"/>
      <c r="G131" s="83">
        <v>45154</v>
      </c>
      <c r="H131" s="457"/>
      <c r="I131" s="338" t="s">
        <v>376</v>
      </c>
      <c r="J131" s="335" t="s">
        <v>372</v>
      </c>
      <c r="K131" s="443">
        <v>1</v>
      </c>
      <c r="L131" s="458"/>
      <c r="M131" s="137">
        <f t="shared" si="30"/>
        <v>1</v>
      </c>
      <c r="N131" s="433"/>
      <c r="O131" s="438"/>
      <c r="P131" s="87">
        <f t="shared" si="31"/>
        <v>1</v>
      </c>
      <c r="Q131" s="712">
        <f t="shared" si="19"/>
        <v>0</v>
      </c>
    </row>
    <row r="132" spans="1:17" s="9" customFormat="1" ht="33" customHeight="1" x14ac:dyDescent="0.25">
      <c r="A132" s="89"/>
      <c r="B132" s="379"/>
      <c r="C132" s="813"/>
      <c r="D132" s="455">
        <v>45276</v>
      </c>
      <c r="E132" s="428" t="s">
        <v>50</v>
      </c>
      <c r="F132" s="520"/>
      <c r="G132" s="83">
        <v>45154</v>
      </c>
      <c r="H132" s="457"/>
      <c r="I132" s="338" t="s">
        <v>377</v>
      </c>
      <c r="J132" s="335" t="s">
        <v>373</v>
      </c>
      <c r="K132" s="443">
        <v>1</v>
      </c>
      <c r="L132" s="458"/>
      <c r="M132" s="137">
        <f t="shared" si="30"/>
        <v>1</v>
      </c>
      <c r="N132" s="433"/>
      <c r="O132" s="438"/>
      <c r="P132" s="87">
        <f t="shared" si="31"/>
        <v>1</v>
      </c>
      <c r="Q132" s="712">
        <f t="shared" si="19"/>
        <v>0</v>
      </c>
    </row>
    <row r="133" spans="1:17" s="9" customFormat="1" ht="33" customHeight="1" x14ac:dyDescent="0.25">
      <c r="A133" s="89"/>
      <c r="B133" s="379"/>
      <c r="C133" s="811"/>
      <c r="D133" s="455">
        <v>45276</v>
      </c>
      <c r="E133" s="428" t="s">
        <v>50</v>
      </c>
      <c r="F133" s="520"/>
      <c r="G133" s="83">
        <v>45154</v>
      </c>
      <c r="H133" s="457"/>
      <c r="I133" s="338" t="s">
        <v>378</v>
      </c>
      <c r="J133" s="335" t="s">
        <v>374</v>
      </c>
      <c r="K133" s="443">
        <v>2</v>
      </c>
      <c r="L133" s="458"/>
      <c r="M133" s="137">
        <f t="shared" si="30"/>
        <v>2</v>
      </c>
      <c r="N133" s="433"/>
      <c r="O133" s="438"/>
      <c r="P133" s="87">
        <f t="shared" si="31"/>
        <v>2</v>
      </c>
      <c r="Q133" s="712">
        <f t="shared" si="19"/>
        <v>0</v>
      </c>
    </row>
    <row r="134" spans="1:17" s="9" customFormat="1" ht="33" customHeight="1" x14ac:dyDescent="0.25">
      <c r="A134" s="89"/>
      <c r="B134" s="379"/>
      <c r="C134" s="554" t="s">
        <v>726</v>
      </c>
      <c r="D134" s="455">
        <v>45495</v>
      </c>
      <c r="E134" s="428" t="s">
        <v>50</v>
      </c>
      <c r="F134" s="520"/>
      <c r="G134" s="83">
        <v>45313</v>
      </c>
      <c r="H134" s="457"/>
      <c r="I134" s="338" t="s">
        <v>724</v>
      </c>
      <c r="J134" s="335" t="s">
        <v>725</v>
      </c>
      <c r="K134" s="513">
        <v>1</v>
      </c>
      <c r="L134" s="458"/>
      <c r="M134" s="137">
        <f t="shared" si="30"/>
        <v>1</v>
      </c>
      <c r="N134" s="433"/>
      <c r="O134" s="438"/>
      <c r="P134" s="87">
        <f t="shared" si="31"/>
        <v>1</v>
      </c>
      <c r="Q134" s="712">
        <f t="shared" si="19"/>
        <v>0</v>
      </c>
    </row>
    <row r="135" spans="1:17" s="9" customFormat="1" ht="32.25" customHeight="1" x14ac:dyDescent="0.25">
      <c r="A135" s="89"/>
      <c r="B135" s="379"/>
      <c r="C135" s="554" t="s">
        <v>739</v>
      </c>
      <c r="D135" s="455">
        <v>45465</v>
      </c>
      <c r="E135" s="428" t="s">
        <v>50</v>
      </c>
      <c r="F135" s="456"/>
      <c r="G135" s="83">
        <v>45323</v>
      </c>
      <c r="H135" s="457"/>
      <c r="I135" s="338" t="s">
        <v>737</v>
      </c>
      <c r="J135" s="335" t="s">
        <v>728</v>
      </c>
      <c r="K135" s="513">
        <v>1</v>
      </c>
      <c r="L135" s="458"/>
      <c r="M135" s="137">
        <f t="shared" ref="M135:M138" si="32">K135</f>
        <v>1</v>
      </c>
      <c r="N135" s="433"/>
      <c r="O135" s="438"/>
      <c r="P135" s="87">
        <f t="shared" ref="P135:P138" si="33">M135-N135</f>
        <v>1</v>
      </c>
      <c r="Q135" s="712">
        <f t="shared" si="19"/>
        <v>0</v>
      </c>
    </row>
    <row r="136" spans="1:17" s="9" customFormat="1" ht="32.25" customHeight="1" x14ac:dyDescent="0.25">
      <c r="A136" s="89"/>
      <c r="B136" s="379"/>
      <c r="C136" s="554" t="s">
        <v>740</v>
      </c>
      <c r="D136" s="455">
        <v>45495</v>
      </c>
      <c r="E136" s="428" t="s">
        <v>50</v>
      </c>
      <c r="F136" s="456"/>
      <c r="G136" s="83">
        <v>45323</v>
      </c>
      <c r="H136" s="457"/>
      <c r="I136" s="338" t="s">
        <v>738</v>
      </c>
      <c r="J136" s="335" t="s">
        <v>270</v>
      </c>
      <c r="K136" s="513">
        <v>1</v>
      </c>
      <c r="L136" s="458"/>
      <c r="M136" s="137">
        <f t="shared" si="32"/>
        <v>1</v>
      </c>
      <c r="N136" s="433"/>
      <c r="O136" s="438"/>
      <c r="P136" s="87">
        <f t="shared" si="33"/>
        <v>1</v>
      </c>
      <c r="Q136" s="712">
        <f t="shared" si="19"/>
        <v>0</v>
      </c>
    </row>
    <row r="137" spans="1:17" s="9" customFormat="1" ht="32.25" customHeight="1" x14ac:dyDescent="0.25">
      <c r="A137" s="89"/>
      <c r="B137" s="379"/>
      <c r="C137" s="810" t="s">
        <v>760</v>
      </c>
      <c r="D137" s="455">
        <v>45450</v>
      </c>
      <c r="E137" s="428" t="s">
        <v>50</v>
      </c>
      <c r="F137" s="456"/>
      <c r="G137" s="83">
        <v>45329</v>
      </c>
      <c r="H137" s="457"/>
      <c r="I137" s="338" t="s">
        <v>753</v>
      </c>
      <c r="J137" s="335" t="s">
        <v>521</v>
      </c>
      <c r="K137" s="513">
        <v>8</v>
      </c>
      <c r="L137" s="458"/>
      <c r="M137" s="137">
        <f t="shared" si="32"/>
        <v>8</v>
      </c>
      <c r="N137" s="433">
        <f>5+3</f>
        <v>8</v>
      </c>
      <c r="O137" s="438"/>
      <c r="P137" s="87">
        <f t="shared" si="33"/>
        <v>0</v>
      </c>
      <c r="Q137" s="712">
        <f t="shared" si="19"/>
        <v>8</v>
      </c>
    </row>
    <row r="138" spans="1:17" s="9" customFormat="1" ht="32.25" customHeight="1" x14ac:dyDescent="0.25">
      <c r="A138" s="89"/>
      <c r="B138" s="379"/>
      <c r="C138" s="811"/>
      <c r="D138" s="455">
        <v>45511</v>
      </c>
      <c r="E138" s="428" t="s">
        <v>50</v>
      </c>
      <c r="F138" s="456"/>
      <c r="G138" s="83">
        <v>45329</v>
      </c>
      <c r="H138" s="457"/>
      <c r="I138" s="338" t="s">
        <v>758</v>
      </c>
      <c r="J138" s="335" t="s">
        <v>759</v>
      </c>
      <c r="K138" s="513">
        <v>7</v>
      </c>
      <c r="L138" s="458"/>
      <c r="M138" s="137">
        <f t="shared" si="32"/>
        <v>7</v>
      </c>
      <c r="N138" s="433"/>
      <c r="O138" s="438"/>
      <c r="P138" s="87">
        <f t="shared" si="33"/>
        <v>7</v>
      </c>
      <c r="Q138" s="712">
        <f t="shared" si="19"/>
        <v>0</v>
      </c>
    </row>
    <row r="139" spans="1:17" s="9" customFormat="1" ht="32.25" customHeight="1" x14ac:dyDescent="0.25">
      <c r="A139" s="89"/>
      <c r="B139" s="379"/>
      <c r="C139" s="510" t="s">
        <v>428</v>
      </c>
      <c r="D139" s="455">
        <v>45317</v>
      </c>
      <c r="E139" s="428" t="s">
        <v>50</v>
      </c>
      <c r="F139" s="456"/>
      <c r="G139" s="83">
        <v>45196</v>
      </c>
      <c r="H139" s="457"/>
      <c r="I139" s="338" t="s">
        <v>429</v>
      </c>
      <c r="J139" s="335" t="s">
        <v>270</v>
      </c>
      <c r="K139" s="443">
        <v>1</v>
      </c>
      <c r="L139" s="458"/>
      <c r="M139" s="137">
        <f t="shared" si="30"/>
        <v>1</v>
      </c>
      <c r="N139" s="433"/>
      <c r="O139" s="438"/>
      <c r="P139" s="87">
        <f t="shared" si="31"/>
        <v>1</v>
      </c>
      <c r="Q139" s="712">
        <f t="shared" si="19"/>
        <v>0</v>
      </c>
    </row>
    <row r="140" spans="1:17" s="9" customFormat="1" ht="38.25" customHeight="1" x14ac:dyDescent="0.25">
      <c r="A140" s="89"/>
      <c r="B140" s="379"/>
      <c r="C140" s="810" t="s">
        <v>430</v>
      </c>
      <c r="D140" s="455">
        <v>45317</v>
      </c>
      <c r="E140" s="428" t="s">
        <v>50</v>
      </c>
      <c r="F140" s="456"/>
      <c r="G140" s="83">
        <v>45195</v>
      </c>
      <c r="H140" s="457"/>
      <c r="I140" s="338" t="s">
        <v>441</v>
      </c>
      <c r="J140" s="335" t="s">
        <v>395</v>
      </c>
      <c r="K140" s="513">
        <v>1</v>
      </c>
      <c r="L140" s="458"/>
      <c r="M140" s="137">
        <f t="shared" si="30"/>
        <v>1</v>
      </c>
      <c r="N140" s="433"/>
      <c r="O140" s="438"/>
      <c r="P140" s="87">
        <f t="shared" si="31"/>
        <v>1</v>
      </c>
      <c r="Q140" s="712">
        <f t="shared" si="19"/>
        <v>0</v>
      </c>
    </row>
    <row r="141" spans="1:17" s="9" customFormat="1" ht="32.25" customHeight="1" x14ac:dyDescent="0.25">
      <c r="A141" s="89"/>
      <c r="B141" s="379"/>
      <c r="C141" s="813"/>
      <c r="D141" s="455">
        <v>45285</v>
      </c>
      <c r="E141" s="428" t="s">
        <v>50</v>
      </c>
      <c r="F141" s="456"/>
      <c r="G141" s="83">
        <v>45195</v>
      </c>
      <c r="H141" s="457"/>
      <c r="I141" s="338" t="s">
        <v>447</v>
      </c>
      <c r="J141" s="335" t="s">
        <v>396</v>
      </c>
      <c r="K141" s="513">
        <v>1</v>
      </c>
      <c r="L141" s="458"/>
      <c r="M141" s="137">
        <f t="shared" si="30"/>
        <v>1</v>
      </c>
      <c r="N141" s="433"/>
      <c r="O141" s="438"/>
      <c r="P141" s="87">
        <f t="shared" si="31"/>
        <v>1</v>
      </c>
      <c r="Q141" s="712">
        <f t="shared" si="19"/>
        <v>0</v>
      </c>
    </row>
    <row r="142" spans="1:17" s="9" customFormat="1" ht="32.25" customHeight="1" x14ac:dyDescent="0.25">
      <c r="A142" s="89"/>
      <c r="B142" s="379"/>
      <c r="C142" s="813"/>
      <c r="D142" s="455">
        <v>45285</v>
      </c>
      <c r="E142" s="428" t="s">
        <v>50</v>
      </c>
      <c r="F142" s="456"/>
      <c r="G142" s="83">
        <v>45195</v>
      </c>
      <c r="H142" s="457"/>
      <c r="I142" s="338" t="s">
        <v>448</v>
      </c>
      <c r="J142" s="335" t="s">
        <v>124</v>
      </c>
      <c r="K142" s="513">
        <v>2</v>
      </c>
      <c r="L142" s="458"/>
      <c r="M142" s="137">
        <f t="shared" si="30"/>
        <v>2</v>
      </c>
      <c r="N142" s="433">
        <v>2</v>
      </c>
      <c r="O142" s="438"/>
      <c r="P142" s="87">
        <f t="shared" si="31"/>
        <v>0</v>
      </c>
      <c r="Q142" s="712">
        <f t="shared" si="19"/>
        <v>2</v>
      </c>
    </row>
    <row r="143" spans="1:17" s="9" customFormat="1" ht="36.75" customHeight="1" x14ac:dyDescent="0.25">
      <c r="A143" s="89"/>
      <c r="B143" s="379"/>
      <c r="C143" s="813"/>
      <c r="D143" s="455">
        <v>45285</v>
      </c>
      <c r="E143" s="428" t="s">
        <v>50</v>
      </c>
      <c r="F143" s="456"/>
      <c r="G143" s="83">
        <v>45195</v>
      </c>
      <c r="H143" s="457"/>
      <c r="I143" s="338" t="s">
        <v>449</v>
      </c>
      <c r="J143" s="335" t="s">
        <v>432</v>
      </c>
      <c r="K143" s="513">
        <v>1</v>
      </c>
      <c r="L143" s="458"/>
      <c r="M143" s="137">
        <f t="shared" si="30"/>
        <v>1</v>
      </c>
      <c r="N143" s="433">
        <v>1</v>
      </c>
      <c r="O143" s="438"/>
      <c r="P143" s="87">
        <f t="shared" si="31"/>
        <v>0</v>
      </c>
      <c r="Q143" s="712">
        <f t="shared" si="19"/>
        <v>1</v>
      </c>
    </row>
    <row r="144" spans="1:17" s="9" customFormat="1" ht="32.25" customHeight="1" x14ac:dyDescent="0.25">
      <c r="A144" s="89"/>
      <c r="B144" s="379"/>
      <c r="C144" s="813"/>
      <c r="D144" s="455">
        <v>45317</v>
      </c>
      <c r="E144" s="428" t="s">
        <v>50</v>
      </c>
      <c r="F144" s="456"/>
      <c r="G144" s="83">
        <v>45195</v>
      </c>
      <c r="H144" s="457"/>
      <c r="I144" s="338" t="s">
        <v>443</v>
      </c>
      <c r="J144" s="335" t="s">
        <v>433</v>
      </c>
      <c r="K144" s="513">
        <v>2</v>
      </c>
      <c r="L144" s="458"/>
      <c r="M144" s="137">
        <f t="shared" si="30"/>
        <v>2</v>
      </c>
      <c r="N144" s="433"/>
      <c r="O144" s="438"/>
      <c r="P144" s="87">
        <f t="shared" si="31"/>
        <v>2</v>
      </c>
      <c r="Q144" s="712">
        <f t="shared" si="19"/>
        <v>0</v>
      </c>
    </row>
    <row r="145" spans="1:17" s="9" customFormat="1" ht="32.25" customHeight="1" x14ac:dyDescent="0.25">
      <c r="A145" s="89"/>
      <c r="B145" s="379"/>
      <c r="C145" s="813"/>
      <c r="D145" s="455">
        <v>45317</v>
      </c>
      <c r="E145" s="428" t="s">
        <v>50</v>
      </c>
      <c r="F145" s="456"/>
      <c r="G145" s="83">
        <v>45195</v>
      </c>
      <c r="H145" s="457"/>
      <c r="I145" s="338" t="s">
        <v>444</v>
      </c>
      <c r="J145" s="335" t="s">
        <v>434</v>
      </c>
      <c r="K145" s="513">
        <v>1</v>
      </c>
      <c r="L145" s="458"/>
      <c r="M145" s="137">
        <f t="shared" si="30"/>
        <v>1</v>
      </c>
      <c r="N145" s="433"/>
      <c r="O145" s="438"/>
      <c r="P145" s="87">
        <f t="shared" si="31"/>
        <v>1</v>
      </c>
      <c r="Q145" s="712">
        <f t="shared" si="19"/>
        <v>0</v>
      </c>
    </row>
    <row r="146" spans="1:17" s="9" customFormat="1" ht="32.25" customHeight="1" x14ac:dyDescent="0.25">
      <c r="A146" s="89"/>
      <c r="B146" s="379"/>
      <c r="C146" s="813"/>
      <c r="D146" s="455">
        <v>45317</v>
      </c>
      <c r="E146" s="428" t="s">
        <v>50</v>
      </c>
      <c r="F146" s="456"/>
      <c r="G146" s="83">
        <v>45195</v>
      </c>
      <c r="H146" s="457"/>
      <c r="I146" s="338" t="s">
        <v>446</v>
      </c>
      <c r="J146" s="335" t="s">
        <v>436</v>
      </c>
      <c r="K146" s="513">
        <v>2</v>
      </c>
      <c r="L146" s="458"/>
      <c r="M146" s="137">
        <f t="shared" si="30"/>
        <v>2</v>
      </c>
      <c r="N146" s="433"/>
      <c r="O146" s="438"/>
      <c r="P146" s="87">
        <f t="shared" si="31"/>
        <v>2</v>
      </c>
      <c r="Q146" s="712">
        <f t="shared" si="19"/>
        <v>0</v>
      </c>
    </row>
    <row r="147" spans="1:17" s="9" customFormat="1" ht="32.25" customHeight="1" x14ac:dyDescent="0.25">
      <c r="A147" s="89"/>
      <c r="B147" s="379"/>
      <c r="C147" s="813"/>
      <c r="D147" s="455">
        <v>45285</v>
      </c>
      <c r="E147" s="428" t="s">
        <v>50</v>
      </c>
      <c r="F147" s="456"/>
      <c r="G147" s="83">
        <v>45195</v>
      </c>
      <c r="H147" s="457"/>
      <c r="I147" s="338" t="s">
        <v>450</v>
      </c>
      <c r="J147" s="335" t="s">
        <v>437</v>
      </c>
      <c r="K147" s="513">
        <v>1</v>
      </c>
      <c r="L147" s="458"/>
      <c r="M147" s="137">
        <f t="shared" si="30"/>
        <v>1</v>
      </c>
      <c r="N147" s="433">
        <v>1</v>
      </c>
      <c r="O147" s="438"/>
      <c r="P147" s="87">
        <f t="shared" si="31"/>
        <v>0</v>
      </c>
      <c r="Q147" s="712">
        <f t="shared" si="19"/>
        <v>1</v>
      </c>
    </row>
    <row r="148" spans="1:17" s="9" customFormat="1" ht="32.25" customHeight="1" x14ac:dyDescent="0.25">
      <c r="A148" s="89"/>
      <c r="B148" s="379"/>
      <c r="C148" s="813"/>
      <c r="D148" s="455">
        <v>45285</v>
      </c>
      <c r="E148" s="428" t="s">
        <v>50</v>
      </c>
      <c r="F148" s="456"/>
      <c r="G148" s="83">
        <v>45195</v>
      </c>
      <c r="H148" s="457"/>
      <c r="I148" s="338" t="s">
        <v>451</v>
      </c>
      <c r="J148" s="335" t="s">
        <v>438</v>
      </c>
      <c r="K148" s="513">
        <v>1</v>
      </c>
      <c r="L148" s="458"/>
      <c r="M148" s="137">
        <f t="shared" si="30"/>
        <v>1</v>
      </c>
      <c r="N148" s="433">
        <v>1</v>
      </c>
      <c r="O148" s="438"/>
      <c r="P148" s="87">
        <f t="shared" si="31"/>
        <v>0</v>
      </c>
      <c r="Q148" s="712">
        <f t="shared" si="19"/>
        <v>1</v>
      </c>
    </row>
    <row r="149" spans="1:17" s="9" customFormat="1" ht="32.25" customHeight="1" x14ac:dyDescent="0.25">
      <c r="A149" s="89"/>
      <c r="B149" s="379"/>
      <c r="C149" s="813"/>
      <c r="D149" s="455">
        <v>45285</v>
      </c>
      <c r="E149" s="428" t="s">
        <v>50</v>
      </c>
      <c r="F149" s="456"/>
      <c r="G149" s="83">
        <v>45195</v>
      </c>
      <c r="H149" s="457"/>
      <c r="I149" s="338" t="s">
        <v>452</v>
      </c>
      <c r="J149" s="335" t="s">
        <v>439</v>
      </c>
      <c r="K149" s="513">
        <v>1</v>
      </c>
      <c r="L149" s="458"/>
      <c r="M149" s="137">
        <f t="shared" si="30"/>
        <v>1</v>
      </c>
      <c r="N149" s="433">
        <v>1</v>
      </c>
      <c r="O149" s="438"/>
      <c r="P149" s="87">
        <f t="shared" si="31"/>
        <v>0</v>
      </c>
      <c r="Q149" s="712">
        <f t="shared" si="19"/>
        <v>1</v>
      </c>
    </row>
    <row r="150" spans="1:17" s="9" customFormat="1" ht="40.5" customHeight="1" x14ac:dyDescent="0.25">
      <c r="A150" s="89"/>
      <c r="B150" s="379"/>
      <c r="C150" s="811"/>
      <c r="D150" s="455">
        <v>45285</v>
      </c>
      <c r="E150" s="428" t="s">
        <v>50</v>
      </c>
      <c r="F150" s="456"/>
      <c r="G150" s="83">
        <v>45195</v>
      </c>
      <c r="H150" s="457"/>
      <c r="I150" s="338" t="s">
        <v>453</v>
      </c>
      <c r="J150" s="335" t="s">
        <v>440</v>
      </c>
      <c r="K150" s="513">
        <v>1</v>
      </c>
      <c r="L150" s="458"/>
      <c r="M150" s="137">
        <f t="shared" si="30"/>
        <v>1</v>
      </c>
      <c r="N150" s="433">
        <v>1</v>
      </c>
      <c r="O150" s="438"/>
      <c r="P150" s="87">
        <f t="shared" si="31"/>
        <v>0</v>
      </c>
      <c r="Q150" s="712">
        <f t="shared" si="19"/>
        <v>1</v>
      </c>
    </row>
    <row r="151" spans="1:17" s="9" customFormat="1" ht="78" customHeight="1" x14ac:dyDescent="0.25">
      <c r="A151" s="89"/>
      <c r="B151" s="379"/>
      <c r="C151" s="554" t="s">
        <v>454</v>
      </c>
      <c r="D151" s="455">
        <v>45317</v>
      </c>
      <c r="E151" s="428" t="s">
        <v>50</v>
      </c>
      <c r="F151" s="632"/>
      <c r="G151" s="83">
        <v>45195</v>
      </c>
      <c r="H151" s="457"/>
      <c r="I151" s="338" t="s">
        <v>457</v>
      </c>
      <c r="J151" s="335" t="s">
        <v>455</v>
      </c>
      <c r="K151" s="513">
        <v>2</v>
      </c>
      <c r="L151" s="458"/>
      <c r="M151" s="137">
        <f t="shared" si="30"/>
        <v>2</v>
      </c>
      <c r="N151" s="433"/>
      <c r="O151" s="438"/>
      <c r="P151" s="87">
        <f t="shared" si="31"/>
        <v>2</v>
      </c>
      <c r="Q151" s="712">
        <f t="shared" si="19"/>
        <v>0</v>
      </c>
    </row>
    <row r="152" spans="1:17" s="9" customFormat="1" ht="38.25" customHeight="1" x14ac:dyDescent="0.25">
      <c r="A152" s="89"/>
      <c r="B152" s="379"/>
      <c r="C152" s="810" t="s">
        <v>403</v>
      </c>
      <c r="D152" s="455">
        <v>45278</v>
      </c>
      <c r="E152" s="428" t="s">
        <v>50</v>
      </c>
      <c r="F152" s="456"/>
      <c r="G152" s="83">
        <v>45187</v>
      </c>
      <c r="H152" s="457"/>
      <c r="I152" s="338" t="s">
        <v>398</v>
      </c>
      <c r="J152" s="335" t="s">
        <v>395</v>
      </c>
      <c r="K152" s="513">
        <v>1</v>
      </c>
      <c r="L152" s="458"/>
      <c r="M152" s="137">
        <f t="shared" si="30"/>
        <v>1</v>
      </c>
      <c r="N152" s="433"/>
      <c r="O152" s="438"/>
      <c r="P152" s="87">
        <f t="shared" si="31"/>
        <v>1</v>
      </c>
      <c r="Q152" s="712">
        <f t="shared" si="19"/>
        <v>0</v>
      </c>
    </row>
    <row r="153" spans="1:17" s="9" customFormat="1" ht="32.25" customHeight="1" x14ac:dyDescent="0.25">
      <c r="A153" s="89"/>
      <c r="B153" s="379"/>
      <c r="C153" s="813"/>
      <c r="D153" s="455">
        <v>45278</v>
      </c>
      <c r="E153" s="428" t="s">
        <v>50</v>
      </c>
      <c r="F153" s="456"/>
      <c r="G153" s="83">
        <v>45187</v>
      </c>
      <c r="H153" s="457"/>
      <c r="I153" s="338" t="s">
        <v>399</v>
      </c>
      <c r="J153" s="335" t="s">
        <v>396</v>
      </c>
      <c r="K153" s="513">
        <v>1</v>
      </c>
      <c r="L153" s="458"/>
      <c r="M153" s="137">
        <f t="shared" si="30"/>
        <v>1</v>
      </c>
      <c r="N153" s="433"/>
      <c r="O153" s="438"/>
      <c r="P153" s="87">
        <f t="shared" si="31"/>
        <v>1</v>
      </c>
      <c r="Q153" s="712">
        <f t="shared" ref="Q153:Q223" si="34">M153-P153</f>
        <v>0</v>
      </c>
    </row>
    <row r="154" spans="1:17" s="9" customFormat="1" ht="32.25" customHeight="1" x14ac:dyDescent="0.25">
      <c r="A154" s="89"/>
      <c r="B154" s="379"/>
      <c r="C154" s="813"/>
      <c r="D154" s="455">
        <v>45278</v>
      </c>
      <c r="E154" s="428" t="s">
        <v>50</v>
      </c>
      <c r="F154" s="456"/>
      <c r="G154" s="83">
        <v>45187</v>
      </c>
      <c r="H154" s="457"/>
      <c r="I154" s="338" t="s">
        <v>401</v>
      </c>
      <c r="J154" s="335" t="s">
        <v>124</v>
      </c>
      <c r="K154" s="513">
        <v>2</v>
      </c>
      <c r="L154" s="458"/>
      <c r="M154" s="137">
        <f t="shared" si="30"/>
        <v>2</v>
      </c>
      <c r="N154" s="433">
        <v>2</v>
      </c>
      <c r="O154" s="438"/>
      <c r="P154" s="87">
        <f t="shared" si="31"/>
        <v>0</v>
      </c>
      <c r="Q154" s="712">
        <f t="shared" si="34"/>
        <v>2</v>
      </c>
    </row>
    <row r="155" spans="1:17" s="121" customFormat="1" ht="31.5" customHeight="1" x14ac:dyDescent="0.25">
      <c r="A155" s="78"/>
      <c r="B155" s="132"/>
      <c r="C155" s="790" t="s">
        <v>473</v>
      </c>
      <c r="D155" s="822" t="s">
        <v>754</v>
      </c>
      <c r="E155" s="365" t="s">
        <v>50</v>
      </c>
      <c r="F155" s="93"/>
      <c r="G155" s="426"/>
      <c r="H155" s="134"/>
      <c r="I155" s="468" t="s">
        <v>805</v>
      </c>
      <c r="J155" s="336" t="s">
        <v>130</v>
      </c>
      <c r="K155" s="513">
        <v>1</v>
      </c>
      <c r="L155" s="135"/>
      <c r="M155" s="87">
        <f t="shared" si="30"/>
        <v>1</v>
      </c>
      <c r="N155" s="130">
        <v>1</v>
      </c>
      <c r="O155" s="135"/>
      <c r="P155" s="137">
        <f t="shared" si="31"/>
        <v>0</v>
      </c>
      <c r="Q155" s="712">
        <f t="shared" si="34"/>
        <v>1</v>
      </c>
    </row>
    <row r="156" spans="1:17" s="121" customFormat="1" ht="39.6" x14ac:dyDescent="0.25">
      <c r="A156" s="78"/>
      <c r="B156" s="132"/>
      <c r="C156" s="791"/>
      <c r="D156" s="823"/>
      <c r="E156" s="365" t="s">
        <v>50</v>
      </c>
      <c r="F156" s="93"/>
      <c r="G156" s="426"/>
      <c r="H156" s="134"/>
      <c r="I156" s="468" t="s">
        <v>806</v>
      </c>
      <c r="J156" s="336" t="s">
        <v>312</v>
      </c>
      <c r="K156" s="513">
        <v>1</v>
      </c>
      <c r="L156" s="135"/>
      <c r="M156" s="87">
        <f t="shared" si="30"/>
        <v>1</v>
      </c>
      <c r="N156" s="130">
        <v>1</v>
      </c>
      <c r="O156" s="135"/>
      <c r="P156" s="137">
        <f t="shared" si="31"/>
        <v>0</v>
      </c>
      <c r="Q156" s="712">
        <f t="shared" si="34"/>
        <v>1</v>
      </c>
    </row>
    <row r="157" spans="1:17" s="121" customFormat="1" ht="39.6" x14ac:dyDescent="0.25">
      <c r="A157" s="78"/>
      <c r="B157" s="132"/>
      <c r="C157" s="792"/>
      <c r="D157" s="824"/>
      <c r="E157" s="365" t="s">
        <v>50</v>
      </c>
      <c r="F157" s="93"/>
      <c r="G157" s="426"/>
      <c r="H157" s="134"/>
      <c r="I157" s="468" t="s">
        <v>752</v>
      </c>
      <c r="J157" s="336" t="s">
        <v>313</v>
      </c>
      <c r="K157" s="513">
        <v>1</v>
      </c>
      <c r="L157" s="135"/>
      <c r="M157" s="87">
        <f t="shared" si="30"/>
        <v>1</v>
      </c>
      <c r="N157" s="130">
        <v>1</v>
      </c>
      <c r="O157" s="135"/>
      <c r="P157" s="137">
        <f t="shared" si="31"/>
        <v>0</v>
      </c>
      <c r="Q157" s="712">
        <f t="shared" si="34"/>
        <v>1</v>
      </c>
    </row>
    <row r="158" spans="1:17" s="9" customFormat="1" ht="28.5" customHeight="1" x14ac:dyDescent="0.25">
      <c r="A158" s="78"/>
      <c r="B158" s="132"/>
      <c r="C158" s="489" t="s">
        <v>418</v>
      </c>
      <c r="D158" s="552">
        <v>45270</v>
      </c>
      <c r="E158" s="365" t="s">
        <v>50</v>
      </c>
      <c r="F158" s="583"/>
      <c r="G158" s="426">
        <v>45238</v>
      </c>
      <c r="H158" s="457"/>
      <c r="I158" s="468" t="s">
        <v>520</v>
      </c>
      <c r="J158" s="336" t="s">
        <v>521</v>
      </c>
      <c r="K158" s="513">
        <v>6</v>
      </c>
      <c r="L158" s="458"/>
      <c r="M158" s="137">
        <f t="shared" si="30"/>
        <v>6</v>
      </c>
      <c r="N158" s="130">
        <v>6</v>
      </c>
      <c r="O158" s="584"/>
      <c r="P158" s="137">
        <f t="shared" si="31"/>
        <v>0</v>
      </c>
      <c r="Q158" s="712">
        <f t="shared" si="34"/>
        <v>6</v>
      </c>
    </row>
    <row r="159" spans="1:17" s="9" customFormat="1" ht="41.25" customHeight="1" x14ac:dyDescent="0.25">
      <c r="A159" s="78"/>
      <c r="B159" s="132"/>
      <c r="C159" s="471" t="s">
        <v>518</v>
      </c>
      <c r="D159" s="552">
        <v>44992</v>
      </c>
      <c r="E159" s="365" t="s">
        <v>50</v>
      </c>
      <c r="F159" s="583"/>
      <c r="G159" s="426">
        <v>45237</v>
      </c>
      <c r="H159" s="457"/>
      <c r="I159" s="468" t="s">
        <v>519</v>
      </c>
      <c r="J159" s="336" t="s">
        <v>131</v>
      </c>
      <c r="K159" s="513">
        <v>1</v>
      </c>
      <c r="L159" s="458"/>
      <c r="M159" s="137">
        <f t="shared" si="30"/>
        <v>1</v>
      </c>
      <c r="N159" s="130"/>
      <c r="O159" s="584"/>
      <c r="P159" s="137">
        <f t="shared" si="31"/>
        <v>1</v>
      </c>
      <c r="Q159" s="712">
        <f t="shared" si="34"/>
        <v>0</v>
      </c>
    </row>
    <row r="160" spans="1:17" s="9" customFormat="1" ht="34.5" customHeight="1" x14ac:dyDescent="0.25">
      <c r="A160" s="78"/>
      <c r="B160" s="132"/>
      <c r="C160" s="471" t="s">
        <v>522</v>
      </c>
      <c r="D160" s="552">
        <v>45026</v>
      </c>
      <c r="E160" s="365" t="s">
        <v>50</v>
      </c>
      <c r="F160" s="583"/>
      <c r="G160" s="426">
        <v>45240</v>
      </c>
      <c r="H160" s="457"/>
      <c r="I160" s="468" t="s">
        <v>523</v>
      </c>
      <c r="J160" s="336" t="s">
        <v>211</v>
      </c>
      <c r="K160" s="513">
        <v>1</v>
      </c>
      <c r="L160" s="458"/>
      <c r="M160" s="137">
        <f t="shared" si="30"/>
        <v>1</v>
      </c>
      <c r="N160" s="130"/>
      <c r="O160" s="584"/>
      <c r="P160" s="137">
        <f t="shared" si="31"/>
        <v>1</v>
      </c>
      <c r="Q160" s="712">
        <f t="shared" si="34"/>
        <v>0</v>
      </c>
    </row>
    <row r="161" spans="1:17" s="9" customFormat="1" ht="34.5" customHeight="1" x14ac:dyDescent="0.25">
      <c r="A161" s="78"/>
      <c r="B161" s="132"/>
      <c r="C161" s="471" t="s">
        <v>532</v>
      </c>
      <c r="D161" s="552">
        <v>45413</v>
      </c>
      <c r="E161" s="365" t="s">
        <v>50</v>
      </c>
      <c r="F161" s="583"/>
      <c r="G161" s="426">
        <v>45245</v>
      </c>
      <c r="H161" s="457"/>
      <c r="I161" s="468" t="s">
        <v>533</v>
      </c>
      <c r="J161" s="336" t="s">
        <v>534</v>
      </c>
      <c r="K161" s="513">
        <v>1</v>
      </c>
      <c r="L161" s="458"/>
      <c r="M161" s="137">
        <f t="shared" si="30"/>
        <v>1</v>
      </c>
      <c r="N161" s="130"/>
      <c r="O161" s="584"/>
      <c r="P161" s="137">
        <f t="shared" si="31"/>
        <v>1</v>
      </c>
      <c r="Q161" s="712">
        <f t="shared" si="34"/>
        <v>0</v>
      </c>
    </row>
    <row r="162" spans="1:17" s="9" customFormat="1" ht="35.25" customHeight="1" x14ac:dyDescent="0.25">
      <c r="A162" s="78"/>
      <c r="B162" s="132"/>
      <c r="C162" s="790" t="s">
        <v>535</v>
      </c>
      <c r="D162" s="552">
        <v>45413</v>
      </c>
      <c r="E162" s="365" t="s">
        <v>50</v>
      </c>
      <c r="F162" s="583"/>
      <c r="G162" s="426"/>
      <c r="H162" s="457"/>
      <c r="I162" s="468" t="s">
        <v>536</v>
      </c>
      <c r="J162" s="336" t="s">
        <v>335</v>
      </c>
      <c r="K162" s="513">
        <v>1</v>
      </c>
      <c r="L162" s="458"/>
      <c r="M162" s="137">
        <f t="shared" si="30"/>
        <v>1</v>
      </c>
      <c r="N162" s="130"/>
      <c r="O162" s="584"/>
      <c r="P162" s="137">
        <f t="shared" si="31"/>
        <v>1</v>
      </c>
      <c r="Q162" s="712">
        <f t="shared" si="34"/>
        <v>0</v>
      </c>
    </row>
    <row r="163" spans="1:17" s="9" customFormat="1" ht="26.4" x14ac:dyDescent="0.25">
      <c r="A163" s="78"/>
      <c r="B163" s="132"/>
      <c r="C163" s="791"/>
      <c r="D163" s="552">
        <v>45413</v>
      </c>
      <c r="E163" s="365" t="s">
        <v>50</v>
      </c>
      <c r="F163" s="583"/>
      <c r="G163" s="426"/>
      <c r="H163" s="457"/>
      <c r="I163" s="468" t="s">
        <v>537</v>
      </c>
      <c r="J163" s="336" t="s">
        <v>538</v>
      </c>
      <c r="K163" s="513">
        <v>2</v>
      </c>
      <c r="L163" s="458"/>
      <c r="M163" s="137">
        <f t="shared" si="30"/>
        <v>2</v>
      </c>
      <c r="N163" s="130">
        <v>2</v>
      </c>
      <c r="O163" s="584"/>
      <c r="P163" s="137">
        <f t="shared" si="31"/>
        <v>0</v>
      </c>
      <c r="Q163" s="712">
        <f t="shared" si="34"/>
        <v>2</v>
      </c>
    </row>
    <row r="164" spans="1:17" s="9" customFormat="1" ht="26.4" x14ac:dyDescent="0.25">
      <c r="A164" s="78"/>
      <c r="B164" s="132"/>
      <c r="C164" s="792"/>
      <c r="D164" s="552">
        <v>45413</v>
      </c>
      <c r="E164" s="365" t="s">
        <v>50</v>
      </c>
      <c r="F164" s="583"/>
      <c r="G164" s="426"/>
      <c r="H164" s="457"/>
      <c r="I164" s="468" t="s">
        <v>539</v>
      </c>
      <c r="J164" s="336" t="s">
        <v>438</v>
      </c>
      <c r="K164" s="513">
        <v>1</v>
      </c>
      <c r="L164" s="458"/>
      <c r="M164" s="137">
        <f t="shared" si="30"/>
        <v>1</v>
      </c>
      <c r="N164" s="130"/>
      <c r="O164" s="584"/>
      <c r="P164" s="137">
        <f t="shared" si="31"/>
        <v>1</v>
      </c>
      <c r="Q164" s="712">
        <f t="shared" si="34"/>
        <v>0</v>
      </c>
    </row>
    <row r="165" spans="1:17" s="9" customFormat="1" ht="26.4" x14ac:dyDescent="0.25">
      <c r="A165" s="78"/>
      <c r="B165" s="132"/>
      <c r="C165" s="471" t="s">
        <v>542</v>
      </c>
      <c r="D165" s="552">
        <v>45413</v>
      </c>
      <c r="E165" s="365" t="s">
        <v>50</v>
      </c>
      <c r="F165" s="583"/>
      <c r="G165" s="426"/>
      <c r="H165" s="457"/>
      <c r="I165" s="468" t="s">
        <v>540</v>
      </c>
      <c r="J165" s="336" t="s">
        <v>541</v>
      </c>
      <c r="K165" s="513">
        <v>1</v>
      </c>
      <c r="L165" s="458"/>
      <c r="M165" s="137">
        <f t="shared" si="30"/>
        <v>1</v>
      </c>
      <c r="N165" s="130"/>
      <c r="O165" s="584"/>
      <c r="P165" s="137">
        <f t="shared" si="31"/>
        <v>1</v>
      </c>
      <c r="Q165" s="712">
        <f t="shared" si="34"/>
        <v>0</v>
      </c>
    </row>
    <row r="166" spans="1:17" s="9" customFormat="1" ht="26.4" x14ac:dyDescent="0.25">
      <c r="A166" s="78"/>
      <c r="B166" s="132"/>
      <c r="C166" s="549" t="s">
        <v>566</v>
      </c>
      <c r="D166" s="552">
        <v>45422</v>
      </c>
      <c r="E166" s="365" t="s">
        <v>50</v>
      </c>
      <c r="F166" s="583"/>
      <c r="G166" s="426"/>
      <c r="H166" s="457"/>
      <c r="I166" s="468" t="s">
        <v>565</v>
      </c>
      <c r="J166" s="336" t="s">
        <v>534</v>
      </c>
      <c r="K166" s="513">
        <v>1</v>
      </c>
      <c r="L166" s="458"/>
      <c r="M166" s="137">
        <f t="shared" si="30"/>
        <v>1</v>
      </c>
      <c r="N166" s="130"/>
      <c r="O166" s="584"/>
      <c r="P166" s="137">
        <f t="shared" si="31"/>
        <v>1</v>
      </c>
      <c r="Q166" s="712">
        <f t="shared" si="34"/>
        <v>0</v>
      </c>
    </row>
    <row r="167" spans="1:17" s="9" customFormat="1" ht="26.4" x14ac:dyDescent="0.25">
      <c r="A167" s="78"/>
      <c r="B167" s="132"/>
      <c r="C167" s="790" t="s">
        <v>547</v>
      </c>
      <c r="D167" s="552">
        <v>45361</v>
      </c>
      <c r="E167" s="365" t="s">
        <v>50</v>
      </c>
      <c r="F167" s="583"/>
      <c r="G167" s="426"/>
      <c r="H167" s="457"/>
      <c r="I167" s="468" t="s">
        <v>543</v>
      </c>
      <c r="J167" s="336" t="s">
        <v>544</v>
      </c>
      <c r="K167" s="513">
        <v>4</v>
      </c>
      <c r="L167" s="458"/>
      <c r="M167" s="137">
        <f t="shared" si="30"/>
        <v>4</v>
      </c>
      <c r="N167" s="130"/>
      <c r="O167" s="584"/>
      <c r="P167" s="137">
        <f t="shared" si="31"/>
        <v>4</v>
      </c>
      <c r="Q167" s="712">
        <f t="shared" si="34"/>
        <v>0</v>
      </c>
    </row>
    <row r="168" spans="1:17" s="9" customFormat="1" ht="26.4" x14ac:dyDescent="0.25">
      <c r="A168" s="78"/>
      <c r="B168" s="132"/>
      <c r="C168" s="792"/>
      <c r="D168" s="552">
        <v>45361</v>
      </c>
      <c r="E168" s="365" t="s">
        <v>50</v>
      </c>
      <c r="F168" s="583"/>
      <c r="G168" s="426"/>
      <c r="H168" s="457"/>
      <c r="I168" s="468" t="s">
        <v>545</v>
      </c>
      <c r="J168" s="336" t="s">
        <v>546</v>
      </c>
      <c r="K168" s="513">
        <v>3</v>
      </c>
      <c r="L168" s="458"/>
      <c r="M168" s="137">
        <f t="shared" si="30"/>
        <v>3</v>
      </c>
      <c r="N168" s="130"/>
      <c r="O168" s="584"/>
      <c r="P168" s="137">
        <f t="shared" si="31"/>
        <v>3</v>
      </c>
      <c r="Q168" s="712">
        <f t="shared" si="34"/>
        <v>0</v>
      </c>
    </row>
    <row r="169" spans="1:17" s="9" customFormat="1" ht="26.4" x14ac:dyDescent="0.25">
      <c r="A169" s="78"/>
      <c r="B169" s="132"/>
      <c r="C169" s="549" t="s">
        <v>548</v>
      </c>
      <c r="D169" s="552">
        <v>44967</v>
      </c>
      <c r="E169" s="365" t="s">
        <v>50</v>
      </c>
      <c r="F169" s="583"/>
      <c r="G169" s="426"/>
      <c r="H169" s="457"/>
      <c r="I169" s="468" t="s">
        <v>549</v>
      </c>
      <c r="J169" s="336" t="s">
        <v>550</v>
      </c>
      <c r="K169" s="513">
        <v>3</v>
      </c>
      <c r="L169" s="458"/>
      <c r="M169" s="137">
        <f t="shared" si="30"/>
        <v>3</v>
      </c>
      <c r="N169" s="130"/>
      <c r="O169" s="584"/>
      <c r="P169" s="137">
        <f t="shared" si="31"/>
        <v>3</v>
      </c>
      <c r="Q169" s="712">
        <f t="shared" si="34"/>
        <v>0</v>
      </c>
    </row>
    <row r="170" spans="1:17" s="9" customFormat="1" ht="27" customHeight="1" x14ac:dyDescent="0.25">
      <c r="A170" s="78"/>
      <c r="B170" s="132"/>
      <c r="C170" s="549" t="s">
        <v>553</v>
      </c>
      <c r="D170" s="552">
        <v>44967</v>
      </c>
      <c r="E170" s="365" t="s">
        <v>50</v>
      </c>
      <c r="F170" s="583"/>
      <c r="G170" s="426"/>
      <c r="H170" s="457"/>
      <c r="I170" s="468" t="s">
        <v>551</v>
      </c>
      <c r="J170" s="336" t="s">
        <v>552</v>
      </c>
      <c r="K170" s="513">
        <v>2</v>
      </c>
      <c r="L170" s="458"/>
      <c r="M170" s="137">
        <f t="shared" si="30"/>
        <v>2</v>
      </c>
      <c r="N170" s="130"/>
      <c r="O170" s="584"/>
      <c r="P170" s="137">
        <f t="shared" si="31"/>
        <v>2</v>
      </c>
      <c r="Q170" s="712">
        <f t="shared" si="34"/>
        <v>0</v>
      </c>
    </row>
    <row r="171" spans="1:17" s="9" customFormat="1" ht="30.75" customHeight="1" x14ac:dyDescent="0.25">
      <c r="A171" s="78"/>
      <c r="B171" s="132"/>
      <c r="C171" s="549" t="s">
        <v>596</v>
      </c>
      <c r="D171" s="552">
        <v>45383</v>
      </c>
      <c r="E171" s="365" t="s">
        <v>50</v>
      </c>
      <c r="F171" s="583"/>
      <c r="G171" s="426">
        <v>45261</v>
      </c>
      <c r="H171" s="457"/>
      <c r="I171" s="468" t="s">
        <v>595</v>
      </c>
      <c r="J171" s="336" t="s">
        <v>290</v>
      </c>
      <c r="K171" s="513">
        <v>8</v>
      </c>
      <c r="L171" s="458"/>
      <c r="M171" s="137">
        <f t="shared" si="30"/>
        <v>8</v>
      </c>
      <c r="N171" s="130"/>
      <c r="O171" s="584"/>
      <c r="P171" s="137">
        <f t="shared" si="31"/>
        <v>8</v>
      </c>
      <c r="Q171" s="712">
        <f t="shared" si="34"/>
        <v>0</v>
      </c>
    </row>
    <row r="172" spans="1:17" s="9" customFormat="1" ht="27" customHeight="1" x14ac:dyDescent="0.25">
      <c r="A172" s="78"/>
      <c r="B172" s="132"/>
      <c r="C172" s="471" t="s">
        <v>647</v>
      </c>
      <c r="D172" s="552">
        <v>45017</v>
      </c>
      <c r="E172" s="365" t="s">
        <v>50</v>
      </c>
      <c r="F172" s="583"/>
      <c r="G172" s="426">
        <v>45267</v>
      </c>
      <c r="H172" s="457"/>
      <c r="I172" s="468" t="s">
        <v>645</v>
      </c>
      <c r="J172" s="336" t="s">
        <v>646</v>
      </c>
      <c r="K172" s="513">
        <v>2</v>
      </c>
      <c r="L172" s="458"/>
      <c r="M172" s="137">
        <f t="shared" si="30"/>
        <v>2</v>
      </c>
      <c r="N172" s="130"/>
      <c r="O172" s="584"/>
      <c r="P172" s="137">
        <f t="shared" si="31"/>
        <v>2</v>
      </c>
      <c r="Q172" s="712">
        <f t="shared" si="34"/>
        <v>0</v>
      </c>
    </row>
    <row r="173" spans="1:17" s="9" customFormat="1" ht="27" customHeight="1" x14ac:dyDescent="0.25">
      <c r="A173" s="78"/>
      <c r="B173" s="132"/>
      <c r="C173" s="471" t="s">
        <v>732</v>
      </c>
      <c r="D173" s="552">
        <v>45495</v>
      </c>
      <c r="E173" s="365" t="s">
        <v>50</v>
      </c>
      <c r="F173" s="583"/>
      <c r="G173" s="426">
        <v>45316</v>
      </c>
      <c r="H173" s="457"/>
      <c r="I173" s="468" t="s">
        <v>727</v>
      </c>
      <c r="J173" s="336" t="s">
        <v>728</v>
      </c>
      <c r="K173" s="513">
        <v>1</v>
      </c>
      <c r="L173" s="458"/>
      <c r="M173" s="137">
        <f t="shared" ref="M173:M177" si="35">K173</f>
        <v>1</v>
      </c>
      <c r="N173" s="130"/>
      <c r="O173" s="584"/>
      <c r="P173" s="137">
        <f t="shared" ref="P173:P177" si="36">M173-N173</f>
        <v>1</v>
      </c>
      <c r="Q173" s="712">
        <f t="shared" si="34"/>
        <v>0</v>
      </c>
    </row>
    <row r="174" spans="1:17" s="9" customFormat="1" ht="27" customHeight="1" x14ac:dyDescent="0.25">
      <c r="A174" s="78"/>
      <c r="B174" s="132"/>
      <c r="C174" s="471" t="s">
        <v>733</v>
      </c>
      <c r="D174" s="552">
        <v>45495</v>
      </c>
      <c r="E174" s="365" t="s">
        <v>50</v>
      </c>
      <c r="F174" s="583"/>
      <c r="G174" s="426">
        <v>45316</v>
      </c>
      <c r="H174" s="457"/>
      <c r="I174" s="468" t="s">
        <v>729</v>
      </c>
      <c r="J174" s="336" t="s">
        <v>728</v>
      </c>
      <c r="K174" s="513">
        <v>1</v>
      </c>
      <c r="L174" s="458"/>
      <c r="M174" s="137">
        <f t="shared" si="35"/>
        <v>1</v>
      </c>
      <c r="N174" s="130"/>
      <c r="O174" s="584"/>
      <c r="P174" s="137">
        <f t="shared" si="36"/>
        <v>1</v>
      </c>
      <c r="Q174" s="712">
        <f t="shared" si="34"/>
        <v>0</v>
      </c>
    </row>
    <row r="175" spans="1:17" s="9" customFormat="1" ht="27" customHeight="1" x14ac:dyDescent="0.25">
      <c r="A175" s="78"/>
      <c r="B175" s="132"/>
      <c r="C175" s="471" t="s">
        <v>734</v>
      </c>
      <c r="D175" s="552">
        <v>45373</v>
      </c>
      <c r="E175" s="365" t="s">
        <v>50</v>
      </c>
      <c r="F175" s="583"/>
      <c r="G175" s="426">
        <v>45316</v>
      </c>
      <c r="H175" s="457"/>
      <c r="I175" s="468" t="s">
        <v>730</v>
      </c>
      <c r="J175" s="336" t="s">
        <v>731</v>
      </c>
      <c r="K175" s="513">
        <v>3</v>
      </c>
      <c r="L175" s="458"/>
      <c r="M175" s="137">
        <f t="shared" si="35"/>
        <v>3</v>
      </c>
      <c r="N175" s="130">
        <v>3</v>
      </c>
      <c r="O175" s="584"/>
      <c r="P175" s="137">
        <f t="shared" si="36"/>
        <v>0</v>
      </c>
      <c r="Q175" s="712">
        <f t="shared" si="34"/>
        <v>3</v>
      </c>
    </row>
    <row r="176" spans="1:17" s="9" customFormat="1" ht="27" customHeight="1" x14ac:dyDescent="0.25">
      <c r="A176" s="78"/>
      <c r="B176" s="132"/>
      <c r="C176" s="471" t="s">
        <v>782</v>
      </c>
      <c r="D176" s="552">
        <v>45463</v>
      </c>
      <c r="E176" s="365" t="s">
        <v>50</v>
      </c>
      <c r="F176" s="583"/>
      <c r="G176" s="426">
        <v>45334</v>
      </c>
      <c r="H176" s="457"/>
      <c r="I176" s="468" t="s">
        <v>781</v>
      </c>
      <c r="J176" s="336" t="s">
        <v>521</v>
      </c>
      <c r="K176" s="513">
        <v>6</v>
      </c>
      <c r="L176" s="458"/>
      <c r="M176" s="137">
        <f t="shared" si="35"/>
        <v>6</v>
      </c>
      <c r="N176" s="130"/>
      <c r="O176" s="584"/>
      <c r="P176" s="137">
        <f t="shared" si="36"/>
        <v>6</v>
      </c>
      <c r="Q176" s="712">
        <f t="shared" si="34"/>
        <v>0</v>
      </c>
    </row>
    <row r="177" spans="1:17" s="9" customFormat="1" ht="27" customHeight="1" x14ac:dyDescent="0.25">
      <c r="A177" s="78"/>
      <c r="B177" s="132"/>
      <c r="C177" s="471" t="s">
        <v>789</v>
      </c>
      <c r="D177" s="552">
        <v>45350</v>
      </c>
      <c r="E177" s="365" t="s">
        <v>50</v>
      </c>
      <c r="F177" s="583"/>
      <c r="G177" s="426">
        <v>45342</v>
      </c>
      <c r="H177" s="457"/>
      <c r="I177" s="468" t="s">
        <v>790</v>
      </c>
      <c r="J177" s="336" t="s">
        <v>133</v>
      </c>
      <c r="K177" s="513">
        <v>4</v>
      </c>
      <c r="L177" s="458"/>
      <c r="M177" s="137">
        <f t="shared" si="35"/>
        <v>4</v>
      </c>
      <c r="N177" s="130">
        <v>4</v>
      </c>
      <c r="O177" s="584"/>
      <c r="P177" s="137">
        <f t="shared" si="36"/>
        <v>0</v>
      </c>
      <c r="Q177" s="712">
        <f t="shared" si="34"/>
        <v>4</v>
      </c>
    </row>
    <row r="178" spans="1:17" s="9" customFormat="1" ht="27" customHeight="1" x14ac:dyDescent="0.25">
      <c r="A178" s="78"/>
      <c r="B178" s="132"/>
      <c r="C178" s="471" t="s">
        <v>840</v>
      </c>
      <c r="D178" s="552">
        <v>45485</v>
      </c>
      <c r="E178" s="365" t="s">
        <v>50</v>
      </c>
      <c r="F178" s="583"/>
      <c r="G178" s="426">
        <v>45363</v>
      </c>
      <c r="H178" s="457"/>
      <c r="I178" s="468" t="s">
        <v>836</v>
      </c>
      <c r="J178" s="336" t="s">
        <v>131</v>
      </c>
      <c r="K178" s="513">
        <v>2</v>
      </c>
      <c r="L178" s="458"/>
      <c r="M178" s="137">
        <f t="shared" ref="M178:M181" si="37">K178</f>
        <v>2</v>
      </c>
      <c r="N178" s="130"/>
      <c r="O178" s="584"/>
      <c r="P178" s="137">
        <f t="shared" ref="P178:P181" si="38">M178-N178</f>
        <v>2</v>
      </c>
      <c r="Q178" s="712"/>
    </row>
    <row r="179" spans="1:17" s="9" customFormat="1" ht="27" customHeight="1" x14ac:dyDescent="0.25">
      <c r="A179" s="78"/>
      <c r="B179" s="132"/>
      <c r="C179" s="471" t="s">
        <v>841</v>
      </c>
      <c r="D179" s="552">
        <v>45526</v>
      </c>
      <c r="E179" s="365" t="s">
        <v>50</v>
      </c>
      <c r="F179" s="583"/>
      <c r="G179" s="426">
        <v>45363</v>
      </c>
      <c r="H179" s="457"/>
      <c r="I179" s="468" t="s">
        <v>837</v>
      </c>
      <c r="J179" s="336" t="s">
        <v>838</v>
      </c>
      <c r="K179" s="513">
        <v>2</v>
      </c>
      <c r="L179" s="458"/>
      <c r="M179" s="137">
        <f t="shared" si="37"/>
        <v>2</v>
      </c>
      <c r="N179" s="130"/>
      <c r="O179" s="584"/>
      <c r="P179" s="137">
        <f t="shared" si="38"/>
        <v>2</v>
      </c>
      <c r="Q179" s="712"/>
    </row>
    <row r="180" spans="1:17" s="9" customFormat="1" ht="27" customHeight="1" x14ac:dyDescent="0.25">
      <c r="A180" s="78"/>
      <c r="B180" s="132"/>
      <c r="C180" s="471" t="s">
        <v>876</v>
      </c>
      <c r="D180" s="552">
        <v>45392</v>
      </c>
      <c r="E180" s="365" t="s">
        <v>50</v>
      </c>
      <c r="F180" s="583"/>
      <c r="G180" s="426">
        <v>45376</v>
      </c>
      <c r="H180" s="457"/>
      <c r="I180" s="468" t="s">
        <v>875</v>
      </c>
      <c r="J180" s="336" t="s">
        <v>133</v>
      </c>
      <c r="K180" s="513">
        <v>5</v>
      </c>
      <c r="L180" s="458"/>
      <c r="M180" s="137">
        <f t="shared" ref="M180" si="39">K180</f>
        <v>5</v>
      </c>
      <c r="N180" s="130"/>
      <c r="O180" s="584"/>
      <c r="P180" s="137">
        <f t="shared" ref="P180" si="40">M180-N180</f>
        <v>5</v>
      </c>
      <c r="Q180" s="712"/>
    </row>
    <row r="181" spans="1:17" s="9" customFormat="1" ht="27" customHeight="1" x14ac:dyDescent="0.25">
      <c r="A181" s="78"/>
      <c r="B181" s="132"/>
      <c r="C181" s="471" t="s">
        <v>842</v>
      </c>
      <c r="D181" s="552">
        <v>45485</v>
      </c>
      <c r="E181" s="365" t="s">
        <v>50</v>
      </c>
      <c r="F181" s="583"/>
      <c r="G181" s="426">
        <v>45363</v>
      </c>
      <c r="H181" s="457"/>
      <c r="I181" s="468" t="s">
        <v>839</v>
      </c>
      <c r="J181" s="336" t="s">
        <v>131</v>
      </c>
      <c r="K181" s="513">
        <v>2</v>
      </c>
      <c r="L181" s="458"/>
      <c r="M181" s="137">
        <f t="shared" si="37"/>
        <v>2</v>
      </c>
      <c r="N181" s="130"/>
      <c r="O181" s="584"/>
      <c r="P181" s="137">
        <f t="shared" si="38"/>
        <v>2</v>
      </c>
      <c r="Q181" s="712"/>
    </row>
    <row r="182" spans="1:17" s="9" customFormat="1" ht="17.25" customHeight="1" x14ac:dyDescent="0.25">
      <c r="A182" s="97"/>
      <c r="B182" s="334" t="s">
        <v>404</v>
      </c>
      <c r="C182" s="642"/>
      <c r="D182" s="98"/>
      <c r="E182" s="99"/>
      <c r="F182" s="100"/>
      <c r="G182" s="101"/>
      <c r="H182" s="102"/>
      <c r="I182" s="103"/>
      <c r="J182" s="105"/>
      <c r="K182" s="106"/>
      <c r="L182" s="53"/>
      <c r="M182" s="54"/>
      <c r="N182" s="55"/>
      <c r="O182" s="53"/>
      <c r="P182" s="54"/>
      <c r="Q182" s="712">
        <f t="shared" si="34"/>
        <v>0</v>
      </c>
    </row>
    <row r="183" spans="1:17" s="1" customFormat="1" ht="30" customHeight="1" x14ac:dyDescent="0.25">
      <c r="A183" s="333"/>
      <c r="B183" s="377"/>
      <c r="C183" s="579" t="s">
        <v>134</v>
      </c>
      <c r="D183" s="559">
        <v>45261</v>
      </c>
      <c r="E183" s="560" t="s">
        <v>50</v>
      </c>
      <c r="F183" s="558"/>
      <c r="G183" s="437">
        <v>45187</v>
      </c>
      <c r="H183" s="421"/>
      <c r="I183" s="338" t="s">
        <v>405</v>
      </c>
      <c r="J183" s="335" t="s">
        <v>406</v>
      </c>
      <c r="K183" s="454">
        <v>1</v>
      </c>
      <c r="L183" s="420"/>
      <c r="M183" s="137">
        <f t="shared" ref="M183" si="41">K183</f>
        <v>1</v>
      </c>
      <c r="N183" s="433">
        <v>1</v>
      </c>
      <c r="O183" s="438"/>
      <c r="P183" s="87">
        <f t="shared" ref="P183" si="42">M183-N183</f>
        <v>0</v>
      </c>
      <c r="Q183" s="712">
        <f t="shared" si="34"/>
        <v>1</v>
      </c>
    </row>
    <row r="184" spans="1:17" s="9" customFormat="1" ht="16.5" customHeight="1" x14ac:dyDescent="0.25">
      <c r="A184" s="97"/>
      <c r="B184" s="330" t="s">
        <v>662</v>
      </c>
      <c r="C184" s="98"/>
      <c r="D184" s="98"/>
      <c r="E184" s="99"/>
      <c r="F184" s="100"/>
      <c r="G184" s="101"/>
      <c r="H184" s="102"/>
      <c r="I184" s="103"/>
      <c r="J184" s="105"/>
      <c r="K184" s="106"/>
      <c r="L184" s="111"/>
      <c r="M184" s="54"/>
      <c r="N184" s="55"/>
      <c r="O184" s="111"/>
      <c r="P184" s="52"/>
      <c r="Q184" s="712">
        <f t="shared" si="34"/>
        <v>0</v>
      </c>
    </row>
    <row r="185" spans="1:17" s="9" customFormat="1" ht="27" customHeight="1" x14ac:dyDescent="0.25">
      <c r="A185" s="89"/>
      <c r="B185" s="379"/>
      <c r="C185" s="793" t="s">
        <v>666</v>
      </c>
      <c r="D185" s="455">
        <v>45455</v>
      </c>
      <c r="E185" s="560" t="s">
        <v>50</v>
      </c>
      <c r="F185" s="517"/>
      <c r="G185" s="83">
        <v>45279</v>
      </c>
      <c r="H185" s="457"/>
      <c r="I185" s="338" t="s">
        <v>663</v>
      </c>
      <c r="J185" s="335" t="s">
        <v>237</v>
      </c>
      <c r="K185" s="454">
        <v>8</v>
      </c>
      <c r="L185" s="458"/>
      <c r="M185" s="69">
        <f>K185</f>
        <v>8</v>
      </c>
      <c r="N185" s="363">
        <v>8</v>
      </c>
      <c r="O185" s="142"/>
      <c r="P185" s="87">
        <f t="shared" ref="P185:P186" si="43">M185-N185</f>
        <v>0</v>
      </c>
      <c r="Q185" s="712">
        <f t="shared" si="34"/>
        <v>8</v>
      </c>
    </row>
    <row r="186" spans="1:17" s="9" customFormat="1" ht="27" customHeight="1" x14ac:dyDescent="0.25">
      <c r="A186" s="89"/>
      <c r="B186" s="379"/>
      <c r="C186" s="789"/>
      <c r="D186" s="455">
        <v>45455</v>
      </c>
      <c r="E186" s="428" t="s">
        <v>50</v>
      </c>
      <c r="F186" s="517"/>
      <c r="G186" s="83">
        <v>45279</v>
      </c>
      <c r="H186" s="457"/>
      <c r="I186" s="338" t="s">
        <v>664</v>
      </c>
      <c r="J186" s="335" t="s">
        <v>665</v>
      </c>
      <c r="K186" s="454">
        <v>8</v>
      </c>
      <c r="L186" s="458"/>
      <c r="M186" s="137">
        <f>K186</f>
        <v>8</v>
      </c>
      <c r="N186" s="363">
        <v>8</v>
      </c>
      <c r="O186" s="142"/>
      <c r="P186" s="87">
        <f t="shared" si="43"/>
        <v>0</v>
      </c>
      <c r="Q186" s="712">
        <f t="shared" si="34"/>
        <v>8</v>
      </c>
    </row>
    <row r="187" spans="1:17" s="40" customFormat="1" ht="23.25" customHeight="1" x14ac:dyDescent="0.3">
      <c r="A187" s="339" t="s">
        <v>52</v>
      </c>
      <c r="B187" s="36"/>
      <c r="C187" s="638"/>
      <c r="D187" s="38"/>
      <c r="E187" s="38"/>
      <c r="F187" s="39"/>
      <c r="G187" s="39"/>
      <c r="H187" s="155"/>
      <c r="I187" s="203"/>
      <c r="J187" s="156"/>
      <c r="K187" s="157"/>
      <c r="L187" s="155"/>
      <c r="M187" s="158"/>
      <c r="N187" s="158"/>
      <c r="O187" s="155"/>
      <c r="P187" s="158"/>
      <c r="Q187" s="712">
        <f t="shared" si="34"/>
        <v>0</v>
      </c>
    </row>
    <row r="188" spans="1:17" s="9" customFormat="1" ht="16.5" customHeight="1" x14ac:dyDescent="0.25">
      <c r="A188" s="97"/>
      <c r="B188" s="330" t="s">
        <v>61</v>
      </c>
      <c r="C188" s="642"/>
      <c r="D188" s="98"/>
      <c r="E188" s="98"/>
      <c r="F188" s="574">
        <f>SUM(F189:F189)</f>
        <v>348668.51</v>
      </c>
      <c r="G188" s="98"/>
      <c r="H188" s="102"/>
      <c r="I188" s="103"/>
      <c r="J188" s="105"/>
      <c r="K188" s="106"/>
      <c r="L188" s="53"/>
      <c r="M188" s="54"/>
      <c r="N188" s="55"/>
      <c r="O188" s="53"/>
      <c r="P188" s="54"/>
      <c r="Q188" s="712">
        <f t="shared" si="34"/>
        <v>0</v>
      </c>
    </row>
    <row r="189" spans="1:17" s="1" customFormat="1" ht="39" customHeight="1" x14ac:dyDescent="0.25">
      <c r="A189" s="333"/>
      <c r="B189" s="377"/>
      <c r="C189" s="507" t="s">
        <v>128</v>
      </c>
      <c r="D189" s="350">
        <v>44280</v>
      </c>
      <c r="E189" s="341" t="s">
        <v>50</v>
      </c>
      <c r="F189" s="573">
        <v>348668.51</v>
      </c>
      <c r="G189" s="331">
        <v>44258</v>
      </c>
      <c r="H189" s="328"/>
      <c r="I189" s="468" t="s">
        <v>81</v>
      </c>
      <c r="J189" s="482" t="s">
        <v>80</v>
      </c>
      <c r="K189" s="378">
        <v>2</v>
      </c>
      <c r="L189" s="329"/>
      <c r="M189" s="69">
        <f>K189</f>
        <v>2</v>
      </c>
      <c r="N189" s="363"/>
      <c r="O189" s="142"/>
      <c r="P189" s="87">
        <f t="shared" ref="P189:P190" si="44">M189-N189</f>
        <v>2</v>
      </c>
      <c r="Q189" s="712">
        <f t="shared" si="34"/>
        <v>0</v>
      </c>
    </row>
    <row r="190" spans="1:17" s="1" customFormat="1" ht="27" customHeight="1" x14ac:dyDescent="0.25">
      <c r="A190" s="333"/>
      <c r="B190" s="377"/>
      <c r="C190" s="522" t="s">
        <v>853</v>
      </c>
      <c r="D190" s="351">
        <v>45412</v>
      </c>
      <c r="E190" s="341" t="s">
        <v>50</v>
      </c>
      <c r="F190" s="580"/>
      <c r="G190" s="354">
        <v>45366</v>
      </c>
      <c r="H190" s="328"/>
      <c r="I190" s="468" t="s">
        <v>854</v>
      </c>
      <c r="J190" s="335" t="s">
        <v>411</v>
      </c>
      <c r="K190" s="443">
        <v>1</v>
      </c>
      <c r="L190" s="329"/>
      <c r="M190" s="87">
        <f t="shared" ref="M190" si="45">K190</f>
        <v>1</v>
      </c>
      <c r="N190" s="449"/>
      <c r="O190" s="142"/>
      <c r="P190" s="137">
        <f t="shared" si="44"/>
        <v>1</v>
      </c>
    </row>
    <row r="191" spans="1:17" s="9" customFormat="1" ht="17.25" customHeight="1" x14ac:dyDescent="0.25">
      <c r="A191" s="97"/>
      <c r="B191" s="369" t="s">
        <v>674</v>
      </c>
      <c r="C191" s="642"/>
      <c r="D191" s="98"/>
      <c r="E191" s="99"/>
      <c r="F191" s="100"/>
      <c r="G191" s="101"/>
      <c r="H191" s="102"/>
      <c r="I191" s="103"/>
      <c r="J191" s="105"/>
      <c r="K191" s="106"/>
      <c r="L191" s="53"/>
      <c r="M191" s="54"/>
      <c r="N191" s="55"/>
      <c r="O191" s="53"/>
      <c r="P191" s="54"/>
      <c r="Q191" s="712">
        <f t="shared" si="34"/>
        <v>0</v>
      </c>
    </row>
    <row r="192" spans="1:17" s="9" customFormat="1" ht="27" customHeight="1" x14ac:dyDescent="0.25">
      <c r="A192" s="78"/>
      <c r="B192" s="132"/>
      <c r="C192" s="490" t="s">
        <v>683</v>
      </c>
      <c r="D192" s="622">
        <v>45289</v>
      </c>
      <c r="E192" s="623" t="s">
        <v>50</v>
      </c>
      <c r="F192" s="624"/>
      <c r="G192" s="426">
        <v>45286</v>
      </c>
      <c r="H192" s="457"/>
      <c r="I192" s="338" t="s">
        <v>678</v>
      </c>
      <c r="J192" s="335" t="s">
        <v>679</v>
      </c>
      <c r="K192" s="454">
        <v>1</v>
      </c>
      <c r="L192" s="458"/>
      <c r="M192" s="87">
        <f t="shared" ref="M192" si="46">K192</f>
        <v>1</v>
      </c>
      <c r="N192" s="363"/>
      <c r="O192" s="142"/>
      <c r="P192" s="87">
        <f t="shared" ref="P192" si="47">M192-N192</f>
        <v>1</v>
      </c>
      <c r="Q192" s="712">
        <f t="shared" si="34"/>
        <v>0</v>
      </c>
    </row>
    <row r="193" spans="1:17" s="9" customFormat="1" ht="15.75" customHeight="1" x14ac:dyDescent="0.25">
      <c r="A193" s="97"/>
      <c r="B193" s="369" t="s">
        <v>467</v>
      </c>
      <c r="C193" s="642"/>
      <c r="D193" s="98"/>
      <c r="E193" s="99"/>
      <c r="F193" s="100"/>
      <c r="G193" s="101"/>
      <c r="H193" s="102"/>
      <c r="I193" s="103"/>
      <c r="J193" s="105"/>
      <c r="K193" s="106"/>
      <c r="L193" s="53"/>
      <c r="M193" s="54"/>
      <c r="N193" s="55"/>
      <c r="O193" s="53"/>
      <c r="P193" s="54"/>
      <c r="Q193" s="712">
        <f t="shared" si="34"/>
        <v>0</v>
      </c>
    </row>
    <row r="194" spans="1:17" s="9" customFormat="1" ht="27" customHeight="1" x14ac:dyDescent="0.25">
      <c r="A194" s="78"/>
      <c r="B194" s="140"/>
      <c r="C194" s="511" t="s">
        <v>391</v>
      </c>
      <c r="D194" s="350">
        <v>45197</v>
      </c>
      <c r="E194" s="341" t="s">
        <v>60</v>
      </c>
      <c r="F194" s="380"/>
      <c r="G194" s="331">
        <v>45166</v>
      </c>
      <c r="H194" s="141"/>
      <c r="I194" s="338" t="s">
        <v>388</v>
      </c>
      <c r="J194" s="336" t="s">
        <v>385</v>
      </c>
      <c r="K194" s="470">
        <v>2</v>
      </c>
      <c r="L194" s="142"/>
      <c r="M194" s="137">
        <f>K194</f>
        <v>2</v>
      </c>
      <c r="N194" s="164"/>
      <c r="O194" s="438"/>
      <c r="P194" s="137">
        <f t="shared" ref="P194:P195" si="48">M194-N194</f>
        <v>2</v>
      </c>
      <c r="Q194" s="712">
        <f t="shared" si="34"/>
        <v>0</v>
      </c>
    </row>
    <row r="195" spans="1:17" s="9" customFormat="1" ht="27" customHeight="1" x14ac:dyDescent="0.25">
      <c r="A195" s="78"/>
      <c r="B195" s="140"/>
      <c r="C195" s="511" t="s">
        <v>392</v>
      </c>
      <c r="D195" s="350">
        <v>45197</v>
      </c>
      <c r="E195" s="341" t="s">
        <v>60</v>
      </c>
      <c r="F195" s="380"/>
      <c r="G195" s="331">
        <v>45166</v>
      </c>
      <c r="H195" s="141"/>
      <c r="I195" s="338" t="s">
        <v>389</v>
      </c>
      <c r="J195" s="336" t="s">
        <v>386</v>
      </c>
      <c r="K195" s="470">
        <v>2</v>
      </c>
      <c r="L195" s="142"/>
      <c r="M195" s="137">
        <f t="shared" ref="M195" si="49">K195</f>
        <v>2</v>
      </c>
      <c r="N195" s="164"/>
      <c r="O195" s="438"/>
      <c r="P195" s="137">
        <f t="shared" si="48"/>
        <v>2</v>
      </c>
      <c r="Q195" s="712">
        <f t="shared" si="34"/>
        <v>0</v>
      </c>
    </row>
    <row r="196" spans="1:17" s="9" customFormat="1" ht="15.75" customHeight="1" x14ac:dyDescent="0.25">
      <c r="A196" s="97"/>
      <c r="B196" s="330" t="s">
        <v>94</v>
      </c>
      <c r="C196" s="642"/>
      <c r="D196" s="98"/>
      <c r="E196" s="99"/>
      <c r="F196" s="100"/>
      <c r="G196" s="101"/>
      <c r="H196" s="102"/>
      <c r="I196" s="103"/>
      <c r="J196" s="105"/>
      <c r="K196" s="106"/>
      <c r="L196" s="53"/>
      <c r="M196" s="54"/>
      <c r="N196" s="55"/>
      <c r="O196" s="53"/>
      <c r="P196" s="54"/>
      <c r="Q196" s="712">
        <f t="shared" si="34"/>
        <v>0</v>
      </c>
    </row>
    <row r="197" spans="1:17" s="9" customFormat="1" ht="42" customHeight="1" x14ac:dyDescent="0.25">
      <c r="A197" s="78"/>
      <c r="B197" s="140"/>
      <c r="C197" s="547" t="s">
        <v>418</v>
      </c>
      <c r="D197" s="350">
        <v>45260</v>
      </c>
      <c r="E197" s="341" t="s">
        <v>50</v>
      </c>
      <c r="F197" s="380"/>
      <c r="G197" s="331">
        <v>45190</v>
      </c>
      <c r="H197" s="141"/>
      <c r="I197" s="338" t="s">
        <v>422</v>
      </c>
      <c r="J197" s="335" t="s">
        <v>423</v>
      </c>
      <c r="K197" s="86">
        <v>1</v>
      </c>
      <c r="L197" s="142"/>
      <c r="M197" s="367">
        <v>1</v>
      </c>
      <c r="N197" s="88"/>
      <c r="O197" s="142"/>
      <c r="P197" s="87">
        <f t="shared" ref="P197" si="50">K197-N197</f>
        <v>1</v>
      </c>
      <c r="Q197" s="712">
        <f t="shared" si="34"/>
        <v>0</v>
      </c>
    </row>
    <row r="198" spans="1:17" s="9" customFormat="1" ht="21" customHeight="1" x14ac:dyDescent="0.25">
      <c r="A198" s="97"/>
      <c r="B198" s="330" t="s">
        <v>66</v>
      </c>
      <c r="C198" s="642"/>
      <c r="D198" s="98"/>
      <c r="E198" s="98"/>
      <c r="F198" s="575">
        <f>F199</f>
        <v>34982.519999999997</v>
      </c>
      <c r="G198" s="101"/>
      <c r="H198" s="102"/>
      <c r="I198" s="103"/>
      <c r="J198" s="105"/>
      <c r="K198" s="106"/>
      <c r="L198" s="53"/>
      <c r="M198" s="112"/>
      <c r="N198" s="113"/>
      <c r="O198" s="53"/>
      <c r="P198" s="52"/>
      <c r="Q198" s="712">
        <f t="shared" si="34"/>
        <v>0</v>
      </c>
    </row>
    <row r="199" spans="1:17" s="9" customFormat="1" ht="27" customHeight="1" x14ac:dyDescent="0.25">
      <c r="A199" s="78"/>
      <c r="B199" s="140"/>
      <c r="C199" s="547"/>
      <c r="D199" s="350"/>
      <c r="E199" s="341" t="s">
        <v>60</v>
      </c>
      <c r="F199" s="564">
        <v>34982.519999999997</v>
      </c>
      <c r="G199" s="331">
        <v>44665</v>
      </c>
      <c r="H199" s="141"/>
      <c r="I199" s="338" t="s">
        <v>105</v>
      </c>
      <c r="J199" s="482" t="s">
        <v>106</v>
      </c>
      <c r="K199" s="86">
        <v>1</v>
      </c>
      <c r="L199" s="142"/>
      <c r="M199" s="367">
        <v>1</v>
      </c>
      <c r="N199" s="88"/>
      <c r="O199" s="142"/>
      <c r="P199" s="87">
        <f t="shared" ref="P199" si="51">K199-N199</f>
        <v>1</v>
      </c>
      <c r="Q199" s="712">
        <f t="shared" si="34"/>
        <v>0</v>
      </c>
    </row>
    <row r="200" spans="1:17" s="9" customFormat="1" ht="16.5" customHeight="1" x14ac:dyDescent="0.25">
      <c r="A200" s="97"/>
      <c r="B200" s="369" t="s">
        <v>45</v>
      </c>
      <c r="C200" s="642"/>
      <c r="D200" s="98"/>
      <c r="E200" s="99"/>
      <c r="F200" s="100"/>
      <c r="G200" s="101"/>
      <c r="H200" s="102"/>
      <c r="I200" s="103"/>
      <c r="J200" s="105"/>
      <c r="K200" s="106"/>
      <c r="L200" s="53"/>
      <c r="M200" s="71"/>
      <c r="N200" s="55"/>
      <c r="O200" s="53"/>
      <c r="P200" s="54"/>
      <c r="Q200" s="712">
        <f t="shared" si="34"/>
        <v>0</v>
      </c>
    </row>
    <row r="201" spans="1:17" s="9" customFormat="1" ht="41.25" customHeight="1" x14ac:dyDescent="0.25">
      <c r="A201" s="375"/>
      <c r="B201" s="208"/>
      <c r="C201" s="548" t="s">
        <v>528</v>
      </c>
      <c r="D201" s="350"/>
      <c r="E201" s="337" t="s">
        <v>273</v>
      </c>
      <c r="F201" s="364"/>
      <c r="G201" s="390"/>
      <c r="H201" s="439"/>
      <c r="I201" s="338" t="s">
        <v>459</v>
      </c>
      <c r="J201" s="336" t="s">
        <v>458</v>
      </c>
      <c r="K201" s="406">
        <v>1</v>
      </c>
      <c r="L201" s="161"/>
      <c r="M201" s="137">
        <v>1</v>
      </c>
      <c r="N201" s="164"/>
      <c r="O201" s="438"/>
      <c r="P201" s="137">
        <f t="shared" ref="P201" si="52">M201-N201</f>
        <v>1</v>
      </c>
      <c r="Q201" s="712">
        <f t="shared" si="34"/>
        <v>0</v>
      </c>
    </row>
    <row r="202" spans="1:17" s="9" customFormat="1" ht="20.25" customHeight="1" x14ac:dyDescent="0.25">
      <c r="A202" s="97"/>
      <c r="B202" s="462" t="s">
        <v>886</v>
      </c>
      <c r="C202" s="642"/>
      <c r="D202" s="98"/>
      <c r="E202" s="99"/>
      <c r="F202" s="575">
        <f>SUM(F211:F212)</f>
        <v>0</v>
      </c>
      <c r="G202" s="101"/>
      <c r="H202" s="463"/>
      <c r="I202" s="103"/>
      <c r="J202" s="105"/>
      <c r="K202" s="106"/>
      <c r="L202" s="464"/>
      <c r="M202" s="71"/>
      <c r="N202" s="55"/>
      <c r="O202" s="464"/>
      <c r="P202" s="465"/>
      <c r="Q202" s="712">
        <f t="shared" si="34"/>
        <v>0</v>
      </c>
    </row>
    <row r="203" spans="1:17" s="9" customFormat="1" ht="27" customHeight="1" x14ac:dyDescent="0.25">
      <c r="A203" s="78"/>
      <c r="B203" s="140"/>
      <c r="C203" s="511"/>
      <c r="D203" s="350"/>
      <c r="E203" s="341" t="s">
        <v>91</v>
      </c>
      <c r="F203" s="380"/>
      <c r="G203" s="331">
        <v>45378</v>
      </c>
      <c r="H203" s="141"/>
      <c r="I203" s="338" t="s">
        <v>887</v>
      </c>
      <c r="J203" s="336" t="s">
        <v>889</v>
      </c>
      <c r="K203" s="470">
        <v>1</v>
      </c>
      <c r="L203" s="142"/>
      <c r="M203" s="137">
        <f>K203</f>
        <v>1</v>
      </c>
      <c r="N203" s="164"/>
      <c r="O203" s="438"/>
      <c r="P203" s="137">
        <f t="shared" ref="P203:P204" si="53">M203-N203</f>
        <v>1</v>
      </c>
      <c r="Q203" s="712"/>
    </row>
    <row r="204" spans="1:17" s="9" customFormat="1" ht="27" customHeight="1" x14ac:dyDescent="0.25">
      <c r="A204" s="78"/>
      <c r="B204" s="140"/>
      <c r="C204" s="511"/>
      <c r="D204" s="350"/>
      <c r="E204" s="341" t="s">
        <v>91</v>
      </c>
      <c r="F204" s="380"/>
      <c r="G204" s="331">
        <v>45378</v>
      </c>
      <c r="H204" s="141"/>
      <c r="I204" s="338" t="s">
        <v>888</v>
      </c>
      <c r="J204" s="336" t="s">
        <v>890</v>
      </c>
      <c r="K204" s="470">
        <v>1</v>
      </c>
      <c r="L204" s="142"/>
      <c r="M204" s="137">
        <f t="shared" ref="M204" si="54">K204</f>
        <v>1</v>
      </c>
      <c r="N204" s="164"/>
      <c r="O204" s="438"/>
      <c r="P204" s="137">
        <f t="shared" si="53"/>
        <v>1</v>
      </c>
      <c r="Q204" s="712"/>
    </row>
    <row r="205" spans="1:17" s="9" customFormat="1" ht="16.5" customHeight="1" x14ac:dyDescent="0.25">
      <c r="A205" s="97"/>
      <c r="B205" s="334" t="s">
        <v>63</v>
      </c>
      <c r="C205" s="642"/>
      <c r="D205" s="98"/>
      <c r="E205" s="99"/>
      <c r="F205" s="575">
        <f>SUM(F206:F208)</f>
        <v>3505093.96</v>
      </c>
      <c r="G205" s="101"/>
      <c r="H205" s="102"/>
      <c r="I205" s="819" t="s">
        <v>770</v>
      </c>
      <c r="J205" s="820"/>
      <c r="K205" s="821"/>
      <c r="L205" s="53"/>
      <c r="M205" s="417"/>
      <c r="N205" s="418"/>
      <c r="O205" s="53"/>
      <c r="P205" s="54"/>
      <c r="Q205" s="712">
        <f t="shared" si="34"/>
        <v>0</v>
      </c>
    </row>
    <row r="206" spans="1:17" s="9" customFormat="1" ht="27.75" customHeight="1" x14ac:dyDescent="0.25">
      <c r="A206" s="78"/>
      <c r="B206" s="79"/>
      <c r="C206" s="466"/>
      <c r="D206" s="426">
        <v>44620</v>
      </c>
      <c r="E206" s="341" t="s">
        <v>120</v>
      </c>
      <c r="F206" s="567">
        <v>1339143.51</v>
      </c>
      <c r="G206" s="94">
        <v>44902</v>
      </c>
      <c r="H206" s="429"/>
      <c r="I206" s="468" t="s">
        <v>140</v>
      </c>
      <c r="J206" s="336" t="s">
        <v>127</v>
      </c>
      <c r="K206" s="453">
        <v>1</v>
      </c>
      <c r="L206" s="430"/>
      <c r="M206" s="87">
        <f t="shared" ref="M206:M207" si="55">K206</f>
        <v>1</v>
      </c>
      <c r="N206" s="485"/>
      <c r="O206" s="430"/>
      <c r="P206" s="87">
        <f t="shared" ref="P206:P207" si="56">K206-N206</f>
        <v>1</v>
      </c>
      <c r="Q206" s="712">
        <f t="shared" si="34"/>
        <v>0</v>
      </c>
    </row>
    <row r="207" spans="1:17" s="9" customFormat="1" ht="27.75" customHeight="1" x14ac:dyDescent="0.25">
      <c r="A207" s="78"/>
      <c r="B207" s="79"/>
      <c r="C207" s="466"/>
      <c r="D207" s="426">
        <v>45229</v>
      </c>
      <c r="E207" s="341" t="s">
        <v>120</v>
      </c>
      <c r="F207" s="567">
        <v>134345.17000000001</v>
      </c>
      <c r="G207" s="94">
        <v>45175</v>
      </c>
      <c r="H207" s="429"/>
      <c r="I207" s="468" t="s">
        <v>413</v>
      </c>
      <c r="J207" s="481" t="s">
        <v>412</v>
      </c>
      <c r="K207" s="453">
        <v>1</v>
      </c>
      <c r="L207" s="430"/>
      <c r="M207" s="87">
        <f t="shared" si="55"/>
        <v>1</v>
      </c>
      <c r="N207" s="485"/>
      <c r="O207" s="430"/>
      <c r="P207" s="87">
        <f t="shared" si="56"/>
        <v>1</v>
      </c>
      <c r="Q207" s="712">
        <f t="shared" si="34"/>
        <v>0</v>
      </c>
    </row>
    <row r="208" spans="1:17" s="9" customFormat="1" ht="34.5" customHeight="1" x14ac:dyDescent="0.25">
      <c r="A208" s="78"/>
      <c r="B208" s="79"/>
      <c r="C208" s="511" t="s">
        <v>136</v>
      </c>
      <c r="D208" s="426">
        <v>44591</v>
      </c>
      <c r="E208" s="341" t="s">
        <v>120</v>
      </c>
      <c r="F208" s="567">
        <v>2031605.28</v>
      </c>
      <c r="G208" s="94">
        <v>44889</v>
      </c>
      <c r="H208" s="429"/>
      <c r="I208" s="468" t="s">
        <v>137</v>
      </c>
      <c r="J208" s="336" t="s">
        <v>135</v>
      </c>
      <c r="K208" s="453">
        <v>2</v>
      </c>
      <c r="L208" s="430"/>
      <c r="M208" s="87">
        <v>1</v>
      </c>
      <c r="N208" s="485"/>
      <c r="O208" s="430"/>
      <c r="P208" s="87">
        <f>M208-N208</f>
        <v>1</v>
      </c>
      <c r="Q208" s="712">
        <f t="shared" si="34"/>
        <v>0</v>
      </c>
    </row>
    <row r="209" spans="1:17" s="9" customFormat="1" ht="16.5" customHeight="1" x14ac:dyDescent="0.25">
      <c r="A209" s="97"/>
      <c r="B209" s="334" t="s">
        <v>496</v>
      </c>
      <c r="C209" s="642"/>
      <c r="D209" s="98"/>
      <c r="E209" s="99"/>
      <c r="F209" s="100"/>
      <c r="G209" s="101"/>
      <c r="H209" s="102"/>
      <c r="I209" s="103"/>
      <c r="J209" s="105"/>
      <c r="K209" s="106"/>
      <c r="L209" s="53"/>
      <c r="M209" s="49"/>
      <c r="N209" s="55"/>
      <c r="O209" s="53"/>
      <c r="P209" s="54"/>
      <c r="Q209" s="712">
        <f t="shared" si="34"/>
        <v>0</v>
      </c>
    </row>
    <row r="210" spans="1:17" s="9" customFormat="1" ht="16.5" customHeight="1" x14ac:dyDescent="0.25">
      <c r="A210" s="97"/>
      <c r="B210" s="369" t="s">
        <v>775</v>
      </c>
      <c r="C210" s="642"/>
      <c r="D210" s="98"/>
      <c r="E210" s="99"/>
      <c r="F210" s="100"/>
      <c r="G210" s="101"/>
      <c r="H210" s="102"/>
      <c r="I210" s="103"/>
      <c r="J210" s="105"/>
      <c r="K210" s="106"/>
      <c r="L210" s="53"/>
      <c r="M210" s="49"/>
      <c r="N210" s="55"/>
      <c r="O210" s="53"/>
      <c r="P210" s="54"/>
      <c r="Q210" s="712">
        <f t="shared" si="34"/>
        <v>0</v>
      </c>
    </row>
    <row r="211" spans="1:17" s="9" customFormat="1" ht="30" customHeight="1" x14ac:dyDescent="0.25">
      <c r="A211" s="375"/>
      <c r="B211" s="208"/>
      <c r="C211" s="799" t="s">
        <v>602</v>
      </c>
      <c r="D211" s="80">
        <v>45342</v>
      </c>
      <c r="E211" s="337" t="s">
        <v>103</v>
      </c>
      <c r="F211" s="599" t="s">
        <v>601</v>
      </c>
      <c r="G211" s="390">
        <v>44766</v>
      </c>
      <c r="H211" s="439"/>
      <c r="I211" s="555" t="s">
        <v>104</v>
      </c>
      <c r="J211" s="481" t="s">
        <v>603</v>
      </c>
      <c r="K211" s="406">
        <v>1</v>
      </c>
      <c r="L211" s="161"/>
      <c r="M211" s="137">
        <v>1</v>
      </c>
      <c r="N211" s="164"/>
      <c r="O211" s="438"/>
      <c r="P211" s="137">
        <f t="shared" ref="P211:P216" si="57">M211-N211</f>
        <v>1</v>
      </c>
      <c r="Q211" s="712">
        <f t="shared" si="34"/>
        <v>0</v>
      </c>
    </row>
    <row r="212" spans="1:17" s="9" customFormat="1" ht="24.75" customHeight="1" x14ac:dyDescent="0.25">
      <c r="A212" s="375"/>
      <c r="B212" s="208"/>
      <c r="C212" s="788"/>
      <c r="D212" s="350">
        <v>45342</v>
      </c>
      <c r="E212" s="337" t="s">
        <v>60</v>
      </c>
      <c r="F212" s="599" t="s">
        <v>601</v>
      </c>
      <c r="G212" s="390">
        <v>44851</v>
      </c>
      <c r="H212" s="439"/>
      <c r="I212" s="555" t="s">
        <v>87</v>
      </c>
      <c r="J212" s="481" t="s">
        <v>604</v>
      </c>
      <c r="K212" s="406">
        <v>1</v>
      </c>
      <c r="L212" s="161"/>
      <c r="M212" s="137">
        <f>K212</f>
        <v>1</v>
      </c>
      <c r="N212" s="164"/>
      <c r="O212" s="438"/>
      <c r="P212" s="137">
        <f t="shared" si="57"/>
        <v>1</v>
      </c>
      <c r="Q212" s="712">
        <f t="shared" si="34"/>
        <v>0</v>
      </c>
    </row>
    <row r="213" spans="1:17" s="9" customFormat="1" ht="24.75" customHeight="1" x14ac:dyDescent="0.25">
      <c r="A213" s="375"/>
      <c r="B213" s="208"/>
      <c r="C213" s="788"/>
      <c r="D213" s="350">
        <v>45342</v>
      </c>
      <c r="E213" s="337" t="s">
        <v>60</v>
      </c>
      <c r="F213" s="564"/>
      <c r="G213" s="390">
        <v>45264</v>
      </c>
      <c r="H213" s="439"/>
      <c r="I213" s="600" t="s">
        <v>612</v>
      </c>
      <c r="J213" s="538" t="s">
        <v>607</v>
      </c>
      <c r="K213" s="406">
        <v>1</v>
      </c>
      <c r="L213" s="161"/>
      <c r="M213" s="137">
        <f t="shared" ref="M213:M216" si="58">K213</f>
        <v>1</v>
      </c>
      <c r="N213" s="164">
        <v>1</v>
      </c>
      <c r="O213" s="438"/>
      <c r="P213" s="137">
        <f t="shared" si="57"/>
        <v>0</v>
      </c>
      <c r="Q213" s="712">
        <f t="shared" si="34"/>
        <v>1</v>
      </c>
    </row>
    <row r="214" spans="1:17" s="9" customFormat="1" ht="24.75" customHeight="1" x14ac:dyDescent="0.25">
      <c r="A214" s="375"/>
      <c r="B214" s="208"/>
      <c r="C214" s="788"/>
      <c r="D214" s="504">
        <v>45342</v>
      </c>
      <c r="E214" s="337" t="s">
        <v>60</v>
      </c>
      <c r="F214" s="564"/>
      <c r="G214" s="390">
        <v>45264</v>
      </c>
      <c r="H214" s="439"/>
      <c r="I214" s="600" t="s">
        <v>613</v>
      </c>
      <c r="J214" s="714" t="s">
        <v>608</v>
      </c>
      <c r="K214" s="432">
        <v>1</v>
      </c>
      <c r="L214" s="161"/>
      <c r="M214" s="137">
        <f t="shared" si="58"/>
        <v>1</v>
      </c>
      <c r="N214" s="164">
        <v>1</v>
      </c>
      <c r="O214" s="438"/>
      <c r="P214" s="137">
        <f t="shared" si="57"/>
        <v>0</v>
      </c>
      <c r="Q214" s="712">
        <f t="shared" si="34"/>
        <v>1</v>
      </c>
    </row>
    <row r="215" spans="1:17" s="9" customFormat="1" ht="24.75" customHeight="1" x14ac:dyDescent="0.25">
      <c r="A215" s="89"/>
      <c r="B215" s="379"/>
      <c r="C215" s="790" t="s">
        <v>780</v>
      </c>
      <c r="D215" s="350">
        <v>45422</v>
      </c>
      <c r="E215" s="337" t="s">
        <v>60</v>
      </c>
      <c r="F215" s="697"/>
      <c r="G215" s="390">
        <v>45335</v>
      </c>
      <c r="H215" s="114"/>
      <c r="I215" s="600" t="s">
        <v>776</v>
      </c>
      <c r="J215" s="714" t="s">
        <v>777</v>
      </c>
      <c r="K215" s="715">
        <v>1</v>
      </c>
      <c r="L215" s="115"/>
      <c r="M215" s="137">
        <f t="shared" si="58"/>
        <v>1</v>
      </c>
      <c r="N215" s="164"/>
      <c r="O215" s="438"/>
      <c r="P215" s="137">
        <f t="shared" si="57"/>
        <v>1</v>
      </c>
      <c r="Q215" s="712">
        <f t="shared" si="34"/>
        <v>0</v>
      </c>
    </row>
    <row r="216" spans="1:17" s="9" customFormat="1" ht="24.75" customHeight="1" x14ac:dyDescent="0.25">
      <c r="A216" s="698"/>
      <c r="B216" s="699"/>
      <c r="C216" s="818"/>
      <c r="D216" s="701">
        <v>45422</v>
      </c>
      <c r="E216" s="337" t="s">
        <v>60</v>
      </c>
      <c r="F216" s="700"/>
      <c r="G216" s="390">
        <v>45335</v>
      </c>
      <c r="H216" s="114"/>
      <c r="I216" s="696" t="s">
        <v>778</v>
      </c>
      <c r="J216" s="538" t="s">
        <v>779</v>
      </c>
      <c r="K216" s="470">
        <v>2</v>
      </c>
      <c r="L216" s="115"/>
      <c r="M216" s="137">
        <f t="shared" si="58"/>
        <v>2</v>
      </c>
      <c r="N216" s="164"/>
      <c r="O216" s="438"/>
      <c r="P216" s="137">
        <f t="shared" si="57"/>
        <v>2</v>
      </c>
      <c r="Q216" s="712">
        <f t="shared" si="34"/>
        <v>0</v>
      </c>
    </row>
    <row r="217" spans="1:17" s="9" customFormat="1" ht="16.5" customHeight="1" x14ac:dyDescent="0.25">
      <c r="A217" s="97"/>
      <c r="B217" s="334" t="s">
        <v>79</v>
      </c>
      <c r="C217" s="642"/>
      <c r="D217" s="98"/>
      <c r="E217" s="99"/>
      <c r="F217" s="100"/>
      <c r="G217" s="101"/>
      <c r="H217" s="102"/>
      <c r="I217" s="103"/>
      <c r="J217" s="105"/>
      <c r="K217" s="106"/>
      <c r="L217" s="53"/>
      <c r="M217" s="49"/>
      <c r="N217" s="55"/>
      <c r="O217" s="53"/>
      <c r="P217" s="54"/>
      <c r="Q217" s="712">
        <f t="shared" si="34"/>
        <v>0</v>
      </c>
    </row>
    <row r="218" spans="1:17" s="9" customFormat="1" ht="15.75" customHeight="1" x14ac:dyDescent="0.25">
      <c r="A218" s="97"/>
      <c r="B218" s="334" t="s">
        <v>71</v>
      </c>
      <c r="C218" s="642"/>
      <c r="D218" s="98"/>
      <c r="E218" s="99"/>
      <c r="F218" s="100"/>
      <c r="G218" s="101"/>
      <c r="H218" s="102"/>
      <c r="I218" s="103"/>
      <c r="J218" s="104"/>
      <c r="K218" s="105"/>
      <c r="L218" s="106"/>
      <c r="M218" s="49"/>
      <c r="N218" s="55"/>
      <c r="O218" s="53"/>
      <c r="P218" s="54"/>
      <c r="Q218" s="712">
        <f t="shared" si="34"/>
        <v>0</v>
      </c>
    </row>
    <row r="219" spans="1:17" s="1" customFormat="1" ht="27" customHeight="1" x14ac:dyDescent="0.25">
      <c r="A219" s="333"/>
      <c r="B219" s="377"/>
      <c r="C219" s="471"/>
      <c r="D219" s="350"/>
      <c r="E219" s="428" t="s">
        <v>60</v>
      </c>
      <c r="F219" s="445"/>
      <c r="G219" s="354"/>
      <c r="H219" s="421"/>
      <c r="I219" s="338" t="s">
        <v>85</v>
      </c>
      <c r="J219" s="336" t="s">
        <v>77</v>
      </c>
      <c r="K219" s="440">
        <v>0</v>
      </c>
      <c r="L219" s="444"/>
      <c r="M219" s="441">
        <f>K219</f>
        <v>0</v>
      </c>
      <c r="N219" s="427"/>
      <c r="O219" s="142"/>
      <c r="P219" s="352">
        <f>M219-N219</f>
        <v>0</v>
      </c>
      <c r="Q219" s="712">
        <f t="shared" si="34"/>
        <v>0</v>
      </c>
    </row>
    <row r="220" spans="1:17" s="56" customFormat="1" ht="18" customHeight="1" x14ac:dyDescent="0.25">
      <c r="A220" s="41"/>
      <c r="B220" s="330" t="s">
        <v>89</v>
      </c>
      <c r="C220" s="642"/>
      <c r="D220" s="44"/>
      <c r="E220" s="45"/>
      <c r="F220" s="46"/>
      <c r="G220" s="47"/>
      <c r="H220" s="48"/>
      <c r="I220" s="49"/>
      <c r="J220" s="50"/>
      <c r="K220" s="51"/>
      <c r="L220" s="53"/>
      <c r="M220" s="49"/>
      <c r="N220" s="55"/>
      <c r="O220" s="53"/>
      <c r="P220" s="54"/>
      <c r="Q220" s="712">
        <f t="shared" si="34"/>
        <v>0</v>
      </c>
    </row>
    <row r="221" spans="1:17" s="1" customFormat="1" ht="27" customHeight="1" x14ac:dyDescent="0.25">
      <c r="A221" s="333"/>
      <c r="B221" s="377"/>
      <c r="C221" s="791"/>
      <c r="D221" s="350">
        <v>44643</v>
      </c>
      <c r="E221" s="428" t="s">
        <v>91</v>
      </c>
      <c r="F221" s="445"/>
      <c r="G221" s="354">
        <v>44623</v>
      </c>
      <c r="H221" s="421"/>
      <c r="I221" s="338" t="s">
        <v>99</v>
      </c>
      <c r="J221" s="336" t="s">
        <v>96</v>
      </c>
      <c r="K221" s="440">
        <v>1</v>
      </c>
      <c r="L221" s="444"/>
      <c r="M221" s="441">
        <f t="shared" ref="M221:M223" si="59">K221</f>
        <v>1</v>
      </c>
      <c r="N221" s="427"/>
      <c r="O221" s="142"/>
      <c r="P221" s="352">
        <f t="shared" ref="P221:P223" si="60">M221-N221</f>
        <v>1</v>
      </c>
      <c r="Q221" s="712">
        <f t="shared" si="34"/>
        <v>0</v>
      </c>
    </row>
    <row r="222" spans="1:17" s="1" customFormat="1" ht="27" customHeight="1" x14ac:dyDescent="0.25">
      <c r="A222" s="333"/>
      <c r="B222" s="377"/>
      <c r="C222" s="791"/>
      <c r="D222" s="350">
        <v>44643</v>
      </c>
      <c r="E222" s="428" t="s">
        <v>91</v>
      </c>
      <c r="F222" s="445"/>
      <c r="G222" s="354">
        <v>44623</v>
      </c>
      <c r="H222" s="421"/>
      <c r="I222" s="338" t="s">
        <v>100</v>
      </c>
      <c r="J222" s="336" t="s">
        <v>97</v>
      </c>
      <c r="K222" s="440">
        <v>1</v>
      </c>
      <c r="L222" s="444"/>
      <c r="M222" s="441">
        <f t="shared" si="59"/>
        <v>1</v>
      </c>
      <c r="N222" s="427"/>
      <c r="O222" s="142"/>
      <c r="P222" s="352">
        <f t="shared" si="60"/>
        <v>1</v>
      </c>
      <c r="Q222" s="712">
        <f t="shared" si="34"/>
        <v>0</v>
      </c>
    </row>
    <row r="223" spans="1:17" s="1" customFormat="1" ht="27" customHeight="1" x14ac:dyDescent="0.25">
      <c r="A223" s="333"/>
      <c r="B223" s="377"/>
      <c r="C223" s="791"/>
      <c r="D223" s="350">
        <v>44643</v>
      </c>
      <c r="E223" s="428" t="s">
        <v>91</v>
      </c>
      <c r="F223" s="445"/>
      <c r="G223" s="354">
        <v>44623</v>
      </c>
      <c r="H223" s="421"/>
      <c r="I223" s="338" t="s">
        <v>101</v>
      </c>
      <c r="J223" s="336" t="s">
        <v>98</v>
      </c>
      <c r="K223" s="440">
        <v>1</v>
      </c>
      <c r="L223" s="444"/>
      <c r="M223" s="441">
        <f t="shared" si="59"/>
        <v>1</v>
      </c>
      <c r="N223" s="427"/>
      <c r="O223" s="142"/>
      <c r="P223" s="352">
        <f t="shared" si="60"/>
        <v>1</v>
      </c>
      <c r="Q223" s="712">
        <f t="shared" si="34"/>
        <v>0</v>
      </c>
    </row>
    <row r="224" spans="1:17" s="56" customFormat="1" ht="18" customHeight="1" x14ac:dyDescent="0.25">
      <c r="A224" s="41"/>
      <c r="B224" s="330" t="s">
        <v>69</v>
      </c>
      <c r="C224" s="642"/>
      <c r="D224" s="44"/>
      <c r="E224" s="45"/>
      <c r="F224" s="46"/>
      <c r="G224" s="47"/>
      <c r="H224" s="48"/>
      <c r="I224" s="49"/>
      <c r="J224" s="50"/>
      <c r="K224" s="51"/>
      <c r="L224" s="53"/>
      <c r="M224" s="49"/>
      <c r="N224" s="55"/>
      <c r="O224" s="53"/>
      <c r="P224" s="54"/>
      <c r="Q224" s="712">
        <f t="shared" ref="Q224:Q283" si="61">M224-P224</f>
        <v>0</v>
      </c>
    </row>
    <row r="225" spans="1:17" s="9" customFormat="1" ht="55.5" customHeight="1" x14ac:dyDescent="0.25">
      <c r="A225" s="78"/>
      <c r="B225" s="79"/>
      <c r="C225" s="597" t="s">
        <v>639</v>
      </c>
      <c r="D225" s="426">
        <v>45396</v>
      </c>
      <c r="E225" s="341" t="s">
        <v>50</v>
      </c>
      <c r="F225" s="594"/>
      <c r="G225" s="94">
        <v>45267</v>
      </c>
      <c r="H225" s="429"/>
      <c r="I225" s="468" t="s">
        <v>640</v>
      </c>
      <c r="J225" s="336" t="s">
        <v>638</v>
      </c>
      <c r="K225" s="453">
        <v>1</v>
      </c>
      <c r="L225" s="430"/>
      <c r="M225" s="441">
        <f t="shared" ref="M225:M226" si="62">K225</f>
        <v>1</v>
      </c>
      <c r="N225" s="427"/>
      <c r="O225" s="142"/>
      <c r="P225" s="352">
        <f t="shared" ref="P225:P226" si="63">M225-N225</f>
        <v>1</v>
      </c>
      <c r="Q225" s="712">
        <f t="shared" si="61"/>
        <v>0</v>
      </c>
    </row>
    <row r="226" spans="1:17" s="1" customFormat="1" ht="38.25" customHeight="1" x14ac:dyDescent="0.25">
      <c r="A226" s="333"/>
      <c r="B226" s="377"/>
      <c r="C226" s="592" t="s">
        <v>554</v>
      </c>
      <c r="D226" s="350">
        <v>45365</v>
      </c>
      <c r="E226" s="428" t="s">
        <v>50</v>
      </c>
      <c r="F226" s="445"/>
      <c r="G226" s="354">
        <v>45244</v>
      </c>
      <c r="H226" s="421"/>
      <c r="I226" s="468" t="s">
        <v>555</v>
      </c>
      <c r="J226" s="336" t="s">
        <v>635</v>
      </c>
      <c r="K226" s="440">
        <v>1</v>
      </c>
      <c r="L226" s="444"/>
      <c r="M226" s="441">
        <f t="shared" si="62"/>
        <v>1</v>
      </c>
      <c r="N226" s="427">
        <v>1</v>
      </c>
      <c r="O226" s="142"/>
      <c r="P226" s="352">
        <f t="shared" si="63"/>
        <v>0</v>
      </c>
      <c r="Q226" s="712">
        <f t="shared" si="61"/>
        <v>1</v>
      </c>
    </row>
    <row r="227" spans="1:17" s="9" customFormat="1" ht="20.25" customHeight="1" x14ac:dyDescent="0.25">
      <c r="A227" s="97"/>
      <c r="B227" s="330" t="s">
        <v>855</v>
      </c>
      <c r="C227" s="642"/>
      <c r="D227" s="98"/>
      <c r="E227" s="99"/>
      <c r="F227" s="100"/>
      <c r="G227" s="101"/>
      <c r="H227" s="102"/>
      <c r="I227" s="103"/>
      <c r="J227" s="105"/>
      <c r="K227" s="106"/>
      <c r="L227" s="53"/>
      <c r="M227" s="49"/>
      <c r="N227" s="55"/>
      <c r="O227" s="53"/>
      <c r="P227" s="54"/>
      <c r="Q227" s="712">
        <f t="shared" si="61"/>
        <v>0</v>
      </c>
    </row>
    <row r="228" spans="1:17" s="1" customFormat="1" ht="38.25" customHeight="1" x14ac:dyDescent="0.25">
      <c r="A228" s="539"/>
      <c r="B228" s="540"/>
      <c r="C228" s="472"/>
      <c r="D228" s="350"/>
      <c r="E228" s="341" t="s">
        <v>706</v>
      </c>
      <c r="F228" s="542"/>
      <c r="G228" s="331">
        <v>45369</v>
      </c>
      <c r="H228" s="541"/>
      <c r="I228" s="338" t="s">
        <v>856</v>
      </c>
      <c r="J228" s="336" t="s">
        <v>857</v>
      </c>
      <c r="K228" s="470">
        <v>1</v>
      </c>
      <c r="L228" s="543"/>
      <c r="M228" s="441">
        <f t="shared" ref="M228" si="64">K228</f>
        <v>1</v>
      </c>
      <c r="N228" s="427"/>
      <c r="O228" s="142"/>
      <c r="P228" s="352">
        <f t="shared" ref="P228" si="65">M228-N228</f>
        <v>1</v>
      </c>
      <c r="Q228" s="712"/>
    </row>
    <row r="229" spans="1:17" s="56" customFormat="1" ht="18.75" customHeight="1" x14ac:dyDescent="0.25">
      <c r="A229" s="41"/>
      <c r="B229" s="330" t="s">
        <v>342</v>
      </c>
      <c r="C229" s="642"/>
      <c r="D229" s="44"/>
      <c r="E229" s="44"/>
      <c r="F229" s="46"/>
      <c r="G229" s="47"/>
      <c r="H229" s="48"/>
      <c r="I229" s="49"/>
      <c r="J229" s="50"/>
      <c r="K229" s="51"/>
      <c r="L229" s="53"/>
      <c r="M229" s="49"/>
      <c r="N229" s="55"/>
      <c r="O229" s="53"/>
      <c r="P229" s="54"/>
      <c r="Q229" s="712">
        <f t="shared" si="61"/>
        <v>0</v>
      </c>
    </row>
    <row r="230" spans="1:17" s="154" customFormat="1" ht="27.75" customHeight="1" x14ac:dyDescent="0.25">
      <c r="A230" s="143" t="s">
        <v>3</v>
      </c>
      <c r="B230" s="144"/>
      <c r="C230" s="150"/>
      <c r="D230" s="146"/>
      <c r="E230" s="146"/>
      <c r="F230" s="147"/>
      <c r="G230" s="147"/>
      <c r="H230" s="370"/>
      <c r="I230" s="149"/>
      <c r="J230" s="184"/>
      <c r="K230" s="150"/>
      <c r="L230" s="152"/>
      <c r="M230" s="153"/>
      <c r="N230" s="151"/>
      <c r="O230" s="152"/>
      <c r="P230" s="153"/>
      <c r="Q230" s="712">
        <f t="shared" si="61"/>
        <v>0</v>
      </c>
    </row>
    <row r="231" spans="1:17" s="40" customFormat="1" ht="24" customHeight="1" x14ac:dyDescent="0.3">
      <c r="A231" s="339" t="s">
        <v>55</v>
      </c>
      <c r="B231" s="36"/>
      <c r="C231" s="638"/>
      <c r="D231" s="38"/>
      <c r="E231" s="38"/>
      <c r="F231" s="39"/>
      <c r="G231" s="39"/>
      <c r="H231" s="197"/>
      <c r="I231" s="198"/>
      <c r="J231" s="156"/>
      <c r="K231" s="157"/>
      <c r="L231" s="197"/>
      <c r="M231" s="158"/>
      <c r="N231" s="158"/>
      <c r="O231" s="197"/>
      <c r="P231" s="158"/>
      <c r="Q231" s="712">
        <f t="shared" si="61"/>
        <v>0</v>
      </c>
    </row>
    <row r="232" spans="1:17" s="1" customFormat="1" ht="38.25" customHeight="1" x14ac:dyDescent="0.25">
      <c r="A232" s="539"/>
      <c r="B232" s="540"/>
      <c r="C232" s="472" t="s">
        <v>302</v>
      </c>
      <c r="D232" s="350">
        <v>44803</v>
      </c>
      <c r="E232" s="341" t="s">
        <v>301</v>
      </c>
      <c r="F232" s="542" t="s">
        <v>314</v>
      </c>
      <c r="G232" s="331">
        <v>45099</v>
      </c>
      <c r="H232" s="541"/>
      <c r="I232" s="338" t="s">
        <v>110</v>
      </c>
      <c r="J232" s="336" t="s">
        <v>109</v>
      </c>
      <c r="K232" s="470">
        <v>6</v>
      </c>
      <c r="L232" s="543"/>
      <c r="M232" s="352">
        <v>1</v>
      </c>
      <c r="N232" s="544"/>
      <c r="O232" s="545"/>
      <c r="P232" s="352">
        <v>1</v>
      </c>
      <c r="Q232" s="712">
        <f t="shared" si="61"/>
        <v>0</v>
      </c>
    </row>
    <row r="233" spans="1:17" s="1" customFormat="1" ht="38.25" customHeight="1" x14ac:dyDescent="0.25">
      <c r="A233" s="539"/>
      <c r="B233" s="540"/>
      <c r="C233" s="472" t="s">
        <v>868</v>
      </c>
      <c r="D233" s="350">
        <v>45401</v>
      </c>
      <c r="E233" s="341" t="s">
        <v>858</v>
      </c>
      <c r="F233" s="542" t="s">
        <v>869</v>
      </c>
      <c r="G233" s="331">
        <v>45371</v>
      </c>
      <c r="H233" s="541"/>
      <c r="I233" s="338" t="s">
        <v>476</v>
      </c>
      <c r="J233" s="336" t="s">
        <v>576</v>
      </c>
      <c r="K233" s="470">
        <v>2</v>
      </c>
      <c r="L233" s="543"/>
      <c r="M233" s="352">
        <f>K233</f>
        <v>2</v>
      </c>
      <c r="N233" s="544"/>
      <c r="O233" s="545"/>
      <c r="P233" s="352">
        <f>M233-N233</f>
        <v>2</v>
      </c>
      <c r="Q233" s="716" t="s">
        <v>870</v>
      </c>
    </row>
    <row r="234" spans="1:17" s="1" customFormat="1" ht="38.25" customHeight="1" x14ac:dyDescent="0.25">
      <c r="A234" s="539"/>
      <c r="B234" s="540"/>
      <c r="C234" s="472" t="s">
        <v>881</v>
      </c>
      <c r="D234" s="350"/>
      <c r="E234" s="341" t="s">
        <v>50</v>
      </c>
      <c r="F234" s="542" t="s">
        <v>882</v>
      </c>
      <c r="G234" s="331">
        <v>45378</v>
      </c>
      <c r="H234" s="541"/>
      <c r="I234" s="338" t="s">
        <v>883</v>
      </c>
      <c r="J234" s="336" t="s">
        <v>884</v>
      </c>
      <c r="K234" s="470">
        <v>1</v>
      </c>
      <c r="L234" s="543"/>
      <c r="M234" s="352">
        <f>K234</f>
        <v>1</v>
      </c>
      <c r="N234" s="544"/>
      <c r="O234" s="545"/>
      <c r="P234" s="352">
        <f>M234-N234</f>
        <v>1</v>
      </c>
      <c r="Q234" s="716" t="s">
        <v>885</v>
      </c>
    </row>
    <row r="235" spans="1:17" s="1" customFormat="1" ht="38.25" customHeight="1" x14ac:dyDescent="0.25">
      <c r="A235" s="539"/>
      <c r="B235" s="540"/>
      <c r="C235" s="472" t="s">
        <v>347</v>
      </c>
      <c r="D235" s="350">
        <v>45358</v>
      </c>
      <c r="E235" s="341" t="s">
        <v>858</v>
      </c>
      <c r="F235" s="542" t="s">
        <v>862</v>
      </c>
      <c r="G235" s="331">
        <v>45351</v>
      </c>
      <c r="H235" s="541"/>
      <c r="I235" s="338" t="s">
        <v>861</v>
      </c>
      <c r="J235" s="336" t="s">
        <v>859</v>
      </c>
      <c r="K235" s="470">
        <v>1</v>
      </c>
      <c r="L235" s="543"/>
      <c r="M235" s="352">
        <v>1</v>
      </c>
      <c r="N235" s="723">
        <v>1</v>
      </c>
      <c r="O235" s="545"/>
      <c r="P235" s="352">
        <v>0</v>
      </c>
      <c r="Q235" s="716" t="s">
        <v>860</v>
      </c>
    </row>
    <row r="236" spans="1:17" s="154" customFormat="1" ht="22.65" customHeight="1" x14ac:dyDescent="0.25">
      <c r="A236" s="340" t="s">
        <v>78</v>
      </c>
      <c r="B236" s="144"/>
      <c r="C236" s="150"/>
      <c r="D236" s="146"/>
      <c r="E236" s="146"/>
      <c r="F236" s="147"/>
      <c r="G236" s="147"/>
      <c r="H236" s="370"/>
      <c r="I236" s="149"/>
      <c r="J236" s="184"/>
      <c r="K236" s="150"/>
      <c r="L236" s="152"/>
      <c r="M236" s="153"/>
      <c r="N236" s="151"/>
      <c r="O236" s="152"/>
      <c r="P236" s="153"/>
      <c r="Q236" s="712">
        <f t="shared" si="61"/>
        <v>0</v>
      </c>
    </row>
    <row r="237" spans="1:17" s="40" customFormat="1" ht="23.25" customHeight="1" x14ac:dyDescent="0.3">
      <c r="A237" s="634" t="s">
        <v>748</v>
      </c>
      <c r="B237" s="200"/>
      <c r="C237" s="645"/>
      <c r="D237" s="407"/>
      <c r="E237" s="407"/>
      <c r="F237" s="408"/>
      <c r="G237" s="408"/>
      <c r="H237" s="155"/>
      <c r="I237" s="198"/>
      <c r="J237" s="409"/>
      <c r="K237" s="204"/>
      <c r="L237" s="155"/>
      <c r="M237" s="159"/>
      <c r="N237" s="159"/>
      <c r="O237" s="155"/>
      <c r="P237" s="159"/>
      <c r="Q237" s="712">
        <f t="shared" si="61"/>
        <v>0</v>
      </c>
    </row>
    <row r="238" spans="1:17" s="121" customFormat="1" ht="27.75" customHeight="1" x14ac:dyDescent="0.25">
      <c r="A238" s="78"/>
      <c r="B238" s="814"/>
      <c r="C238" s="815"/>
      <c r="D238" s="80"/>
      <c r="E238" s="341" t="s">
        <v>751</v>
      </c>
      <c r="F238" s="82"/>
      <c r="G238" s="83">
        <v>45328</v>
      </c>
      <c r="H238" s="90"/>
      <c r="I238" s="338" t="s">
        <v>749</v>
      </c>
      <c r="J238" s="335" t="s">
        <v>750</v>
      </c>
      <c r="K238" s="86">
        <v>1</v>
      </c>
      <c r="L238" s="91"/>
      <c r="M238" s="87">
        <f t="shared" ref="M238:M260" si="66">K238</f>
        <v>1</v>
      </c>
      <c r="N238" s="88">
        <v>1</v>
      </c>
      <c r="O238" s="91"/>
      <c r="P238" s="87">
        <f t="shared" ref="P238" si="67">K238-N238</f>
        <v>0</v>
      </c>
      <c r="Q238" s="712">
        <f t="shared" si="61"/>
        <v>1</v>
      </c>
    </row>
    <row r="239" spans="1:17" s="9" customFormat="1" ht="32.25" customHeight="1" x14ac:dyDescent="0.25">
      <c r="A239" s="89"/>
      <c r="B239" s="379"/>
      <c r="C239" s="514"/>
      <c r="D239" s="455">
        <v>44941</v>
      </c>
      <c r="E239" s="428" t="s">
        <v>50</v>
      </c>
      <c r="F239" s="456"/>
      <c r="G239" s="83">
        <v>44921</v>
      </c>
      <c r="H239" s="457"/>
      <c r="I239" s="338" t="s">
        <v>160</v>
      </c>
      <c r="J239" s="335" t="s">
        <v>159</v>
      </c>
      <c r="K239" s="443">
        <v>1</v>
      </c>
      <c r="L239" s="458"/>
      <c r="M239" s="137">
        <f>K239</f>
        <v>1</v>
      </c>
      <c r="N239" s="433"/>
      <c r="O239" s="438"/>
      <c r="P239" s="87">
        <f>M239-N239</f>
        <v>1</v>
      </c>
      <c r="Q239" s="712">
        <f>M239-P239</f>
        <v>0</v>
      </c>
    </row>
    <row r="240" spans="1:17" s="9" customFormat="1" ht="36.75" customHeight="1" x14ac:dyDescent="0.25">
      <c r="A240" s="89"/>
      <c r="B240" s="379"/>
      <c r="C240" s="509"/>
      <c r="D240" s="455" t="s">
        <v>216</v>
      </c>
      <c r="E240" s="428" t="s">
        <v>50</v>
      </c>
      <c r="F240" s="571" t="s">
        <v>493</v>
      </c>
      <c r="G240" s="83">
        <v>44994</v>
      </c>
      <c r="H240" s="457"/>
      <c r="I240" s="338" t="s">
        <v>217</v>
      </c>
      <c r="J240" s="335" t="s">
        <v>218</v>
      </c>
      <c r="K240" s="443">
        <f>24-2-4</f>
        <v>18</v>
      </c>
      <c r="L240" s="458"/>
      <c r="M240" s="137">
        <f t="shared" si="66"/>
        <v>18</v>
      </c>
      <c r="N240" s="433"/>
      <c r="O240" s="438"/>
      <c r="P240" s="87">
        <f t="shared" ref="P240:P260" si="68">M240-N240</f>
        <v>18</v>
      </c>
      <c r="Q240" s="712">
        <f t="shared" si="61"/>
        <v>0</v>
      </c>
    </row>
    <row r="241" spans="1:17" s="9" customFormat="1" ht="26.4" x14ac:dyDescent="0.25">
      <c r="A241" s="89"/>
      <c r="B241" s="379"/>
      <c r="C241" s="813"/>
      <c r="D241" s="455"/>
      <c r="E241" s="428" t="s">
        <v>50</v>
      </c>
      <c r="F241" s="456"/>
      <c r="G241" s="83">
        <v>44922</v>
      </c>
      <c r="H241" s="457"/>
      <c r="I241" s="338" t="s">
        <v>164</v>
      </c>
      <c r="J241" s="335" t="s">
        <v>161</v>
      </c>
      <c r="K241" s="443">
        <v>1</v>
      </c>
      <c r="L241" s="458">
        <v>1</v>
      </c>
      <c r="M241" s="137">
        <f t="shared" si="66"/>
        <v>1</v>
      </c>
      <c r="N241" s="433"/>
      <c r="O241" s="438"/>
      <c r="P241" s="87">
        <f t="shared" si="68"/>
        <v>1</v>
      </c>
      <c r="Q241" s="712">
        <f t="shared" si="61"/>
        <v>0</v>
      </c>
    </row>
    <row r="242" spans="1:17" s="9" customFormat="1" ht="26.4" x14ac:dyDescent="0.25">
      <c r="A242" s="89"/>
      <c r="B242" s="379"/>
      <c r="C242" s="813"/>
      <c r="D242" s="455"/>
      <c r="E242" s="428" t="s">
        <v>50</v>
      </c>
      <c r="F242" s="456"/>
      <c r="G242" s="83">
        <v>44922</v>
      </c>
      <c r="H242" s="457"/>
      <c r="I242" s="338" t="s">
        <v>165</v>
      </c>
      <c r="J242" s="335" t="s">
        <v>162</v>
      </c>
      <c r="K242" s="443">
        <v>1</v>
      </c>
      <c r="L242" s="458">
        <v>1</v>
      </c>
      <c r="M242" s="137">
        <f t="shared" si="66"/>
        <v>1</v>
      </c>
      <c r="N242" s="433"/>
      <c r="O242" s="438"/>
      <c r="P242" s="87">
        <f t="shared" si="68"/>
        <v>1</v>
      </c>
      <c r="Q242" s="712">
        <f t="shared" si="61"/>
        <v>0</v>
      </c>
    </row>
    <row r="243" spans="1:17" s="9" customFormat="1" ht="23.25" customHeight="1" x14ac:dyDescent="0.25">
      <c r="A243" s="89"/>
      <c r="B243" s="379"/>
      <c r="C243" s="813"/>
      <c r="D243" s="455"/>
      <c r="E243" s="428" t="s">
        <v>50</v>
      </c>
      <c r="F243" s="456"/>
      <c r="G243" s="83">
        <v>44922</v>
      </c>
      <c r="H243" s="457"/>
      <c r="I243" s="338" t="s">
        <v>166</v>
      </c>
      <c r="J243" s="335" t="s">
        <v>163</v>
      </c>
      <c r="K243" s="443">
        <v>1</v>
      </c>
      <c r="L243" s="458">
        <v>1</v>
      </c>
      <c r="M243" s="137">
        <f t="shared" si="66"/>
        <v>1</v>
      </c>
      <c r="N243" s="433"/>
      <c r="O243" s="438"/>
      <c r="P243" s="87">
        <f t="shared" si="68"/>
        <v>1</v>
      </c>
      <c r="Q243" s="712">
        <f t="shared" si="61"/>
        <v>0</v>
      </c>
    </row>
    <row r="244" spans="1:17" s="9" customFormat="1" ht="18" customHeight="1" x14ac:dyDescent="0.25">
      <c r="A244" s="89"/>
      <c r="B244" s="379"/>
      <c r="C244" s="813"/>
      <c r="D244" s="455"/>
      <c r="E244" s="428" t="s">
        <v>50</v>
      </c>
      <c r="F244" s="456"/>
      <c r="G244" s="83">
        <v>44922</v>
      </c>
      <c r="H244" s="457"/>
      <c r="I244" s="338" t="s">
        <v>175</v>
      </c>
      <c r="J244" s="335" t="s">
        <v>167</v>
      </c>
      <c r="K244" s="443">
        <v>1</v>
      </c>
      <c r="L244" s="458">
        <v>4</v>
      </c>
      <c r="M244" s="137">
        <f t="shared" si="66"/>
        <v>1</v>
      </c>
      <c r="N244" s="433"/>
      <c r="O244" s="438"/>
      <c r="P244" s="87">
        <f t="shared" si="68"/>
        <v>1</v>
      </c>
      <c r="Q244" s="712">
        <f t="shared" si="61"/>
        <v>0</v>
      </c>
    </row>
    <row r="245" spans="1:17" s="9" customFormat="1" ht="32.25" customHeight="1" x14ac:dyDescent="0.25">
      <c r="A245" s="89"/>
      <c r="B245" s="379"/>
      <c r="C245" s="813"/>
      <c r="D245" s="455"/>
      <c r="E245" s="428" t="s">
        <v>50</v>
      </c>
      <c r="F245" s="456"/>
      <c r="G245" s="83">
        <v>44922</v>
      </c>
      <c r="H245" s="457"/>
      <c r="I245" s="338" t="s">
        <v>176</v>
      </c>
      <c r="J245" s="335" t="s">
        <v>169</v>
      </c>
      <c r="K245" s="443">
        <v>1</v>
      </c>
      <c r="L245" s="458">
        <v>8</v>
      </c>
      <c r="M245" s="137">
        <f t="shared" si="66"/>
        <v>1</v>
      </c>
      <c r="N245" s="433"/>
      <c r="O245" s="438"/>
      <c r="P245" s="87">
        <f t="shared" si="68"/>
        <v>1</v>
      </c>
      <c r="Q245" s="712">
        <f t="shared" si="61"/>
        <v>0</v>
      </c>
    </row>
    <row r="246" spans="1:17" s="9" customFormat="1" ht="25.5" customHeight="1" x14ac:dyDescent="0.25">
      <c r="A246" s="89"/>
      <c r="B246" s="379"/>
      <c r="C246" s="813"/>
      <c r="D246" s="455"/>
      <c r="E246" s="428" t="s">
        <v>50</v>
      </c>
      <c r="F246" s="456"/>
      <c r="G246" s="83">
        <v>44922</v>
      </c>
      <c r="H246" s="457"/>
      <c r="I246" s="338" t="s">
        <v>177</v>
      </c>
      <c r="J246" s="335" t="s">
        <v>170</v>
      </c>
      <c r="K246" s="443">
        <v>1</v>
      </c>
      <c r="L246" s="458">
        <v>9</v>
      </c>
      <c r="M246" s="137">
        <f t="shared" si="66"/>
        <v>1</v>
      </c>
      <c r="N246" s="433"/>
      <c r="O246" s="438"/>
      <c r="P246" s="87">
        <f t="shared" si="68"/>
        <v>1</v>
      </c>
      <c r="Q246" s="712">
        <f t="shared" si="61"/>
        <v>0</v>
      </c>
    </row>
    <row r="247" spans="1:17" s="9" customFormat="1" ht="25.5" customHeight="1" x14ac:dyDescent="0.25">
      <c r="A247" s="89"/>
      <c r="B247" s="379"/>
      <c r="C247" s="813"/>
      <c r="D247" s="455"/>
      <c r="E247" s="428" t="s">
        <v>50</v>
      </c>
      <c r="G247" s="83">
        <v>44922</v>
      </c>
      <c r="H247" s="457"/>
      <c r="I247" s="338" t="s">
        <v>178</v>
      </c>
      <c r="J247" s="335" t="s">
        <v>171</v>
      </c>
      <c r="K247" s="443">
        <v>1</v>
      </c>
      <c r="L247" s="458">
        <v>11</v>
      </c>
      <c r="M247" s="137">
        <f t="shared" si="66"/>
        <v>1</v>
      </c>
      <c r="N247" s="433"/>
      <c r="O247" s="438"/>
      <c r="P247" s="87">
        <f t="shared" si="68"/>
        <v>1</v>
      </c>
      <c r="Q247" s="712">
        <f t="shared" si="61"/>
        <v>0</v>
      </c>
    </row>
    <row r="248" spans="1:17" s="9" customFormat="1" ht="24.75" customHeight="1" x14ac:dyDescent="0.25">
      <c r="A248" s="89"/>
      <c r="B248" s="379"/>
      <c r="C248" s="813"/>
      <c r="D248" s="455"/>
      <c r="E248" s="428" t="s">
        <v>50</v>
      </c>
      <c r="F248" s="456"/>
      <c r="G248" s="83">
        <v>44922</v>
      </c>
      <c r="H248" s="457"/>
      <c r="I248" s="338" t="s">
        <v>179</v>
      </c>
      <c r="J248" s="335" t="s">
        <v>173</v>
      </c>
      <c r="K248" s="443">
        <v>1</v>
      </c>
      <c r="L248" s="458">
        <v>12</v>
      </c>
      <c r="M248" s="137">
        <f t="shared" si="66"/>
        <v>1</v>
      </c>
      <c r="N248" s="433"/>
      <c r="O248" s="438"/>
      <c r="P248" s="87">
        <f t="shared" si="68"/>
        <v>1</v>
      </c>
      <c r="Q248" s="712">
        <f t="shared" si="61"/>
        <v>0</v>
      </c>
    </row>
    <row r="249" spans="1:17" s="9" customFormat="1" ht="29.25" customHeight="1" x14ac:dyDescent="0.25">
      <c r="A249" s="89"/>
      <c r="B249" s="379"/>
      <c r="C249" s="813"/>
      <c r="D249" s="455"/>
      <c r="E249" s="428" t="s">
        <v>50</v>
      </c>
      <c r="F249" s="456"/>
      <c r="G249" s="83">
        <v>44922</v>
      </c>
      <c r="H249" s="457"/>
      <c r="I249" s="338" t="s">
        <v>180</v>
      </c>
      <c r="J249" s="335" t="s">
        <v>172</v>
      </c>
      <c r="K249" s="443">
        <v>1</v>
      </c>
      <c r="L249" s="458">
        <v>13</v>
      </c>
      <c r="M249" s="137">
        <f t="shared" si="66"/>
        <v>1</v>
      </c>
      <c r="N249" s="433"/>
      <c r="O249" s="438"/>
      <c r="P249" s="87">
        <f t="shared" si="68"/>
        <v>1</v>
      </c>
      <c r="Q249" s="712">
        <f t="shared" si="61"/>
        <v>0</v>
      </c>
    </row>
    <row r="250" spans="1:17" s="9" customFormat="1" ht="15.75" customHeight="1" x14ac:dyDescent="0.25">
      <c r="A250" s="89"/>
      <c r="B250" s="379"/>
      <c r="C250" s="813"/>
      <c r="D250" s="455"/>
      <c r="E250" s="428" t="s">
        <v>50</v>
      </c>
      <c r="F250" s="456"/>
      <c r="G250" s="83">
        <v>44922</v>
      </c>
      <c r="H250" s="457"/>
      <c r="I250" s="338" t="s">
        <v>181</v>
      </c>
      <c r="J250" s="335" t="s">
        <v>174</v>
      </c>
      <c r="K250" s="443">
        <v>1</v>
      </c>
      <c r="L250" s="458">
        <v>16</v>
      </c>
      <c r="M250" s="137">
        <f t="shared" si="66"/>
        <v>1</v>
      </c>
      <c r="N250" s="433"/>
      <c r="O250" s="438"/>
      <c r="P250" s="87">
        <f t="shared" si="68"/>
        <v>1</v>
      </c>
      <c r="Q250" s="712">
        <f t="shared" si="61"/>
        <v>0</v>
      </c>
    </row>
    <row r="251" spans="1:17" s="9" customFormat="1" ht="32.25" customHeight="1" x14ac:dyDescent="0.25">
      <c r="A251" s="89"/>
      <c r="B251" s="379"/>
      <c r="C251" s="813"/>
      <c r="D251" s="455"/>
      <c r="E251" s="428" t="s">
        <v>50</v>
      </c>
      <c r="F251" s="456"/>
      <c r="G251" s="83">
        <v>44922</v>
      </c>
      <c r="H251" s="457"/>
      <c r="I251" s="338" t="s">
        <v>183</v>
      </c>
      <c r="J251" s="335" t="s">
        <v>187</v>
      </c>
      <c r="K251" s="443">
        <v>1</v>
      </c>
      <c r="L251" s="458">
        <v>17</v>
      </c>
      <c r="M251" s="137">
        <f t="shared" si="66"/>
        <v>1</v>
      </c>
      <c r="N251" s="433"/>
      <c r="O251" s="438"/>
      <c r="P251" s="87">
        <f t="shared" si="68"/>
        <v>1</v>
      </c>
      <c r="Q251" s="712">
        <f t="shared" si="61"/>
        <v>0</v>
      </c>
    </row>
    <row r="252" spans="1:17" s="9" customFormat="1" ht="32.25" customHeight="1" x14ac:dyDescent="0.25">
      <c r="A252" s="89"/>
      <c r="B252" s="379"/>
      <c r="C252" s="813"/>
      <c r="D252" s="455"/>
      <c r="E252" s="428" t="s">
        <v>50</v>
      </c>
      <c r="F252" s="456"/>
      <c r="G252" s="83">
        <v>44922</v>
      </c>
      <c r="H252" s="457"/>
      <c r="I252" s="338" t="s">
        <v>182</v>
      </c>
      <c r="J252" s="335" t="s">
        <v>186</v>
      </c>
      <c r="K252" s="443">
        <v>1</v>
      </c>
      <c r="L252" s="458">
        <v>18</v>
      </c>
      <c r="M252" s="137">
        <f t="shared" si="66"/>
        <v>1</v>
      </c>
      <c r="N252" s="433"/>
      <c r="O252" s="438"/>
      <c r="P252" s="87">
        <f t="shared" si="68"/>
        <v>1</v>
      </c>
      <c r="Q252" s="712">
        <f t="shared" si="61"/>
        <v>0</v>
      </c>
    </row>
    <row r="253" spans="1:17" s="9" customFormat="1" ht="32.25" customHeight="1" x14ac:dyDescent="0.25">
      <c r="A253" s="89"/>
      <c r="B253" s="379"/>
      <c r="C253" s="813"/>
      <c r="D253" s="455"/>
      <c r="E253" s="428" t="s">
        <v>50</v>
      </c>
      <c r="F253" s="456"/>
      <c r="G253" s="83">
        <v>44922</v>
      </c>
      <c r="H253" s="457"/>
      <c r="I253" s="338" t="s">
        <v>184</v>
      </c>
      <c r="J253" s="335" t="s">
        <v>185</v>
      </c>
      <c r="K253" s="443">
        <v>1</v>
      </c>
      <c r="L253" s="458"/>
      <c r="M253" s="137">
        <f t="shared" si="66"/>
        <v>1</v>
      </c>
      <c r="N253" s="433"/>
      <c r="O253" s="438"/>
      <c r="P253" s="87">
        <f t="shared" si="68"/>
        <v>1</v>
      </c>
      <c r="Q253" s="712">
        <f t="shared" si="61"/>
        <v>0</v>
      </c>
    </row>
    <row r="254" spans="1:17" s="9" customFormat="1" ht="42" customHeight="1" x14ac:dyDescent="0.25">
      <c r="A254" s="89"/>
      <c r="B254" s="379"/>
      <c r="C254" s="813"/>
      <c r="D254" s="455"/>
      <c r="E254" s="428" t="s">
        <v>50</v>
      </c>
      <c r="F254" s="456"/>
      <c r="G254" s="83">
        <v>44922</v>
      </c>
      <c r="H254" s="457"/>
      <c r="I254" s="338" t="s">
        <v>188</v>
      </c>
      <c r="J254" s="335" t="s">
        <v>195</v>
      </c>
      <c r="K254" s="443">
        <v>1</v>
      </c>
      <c r="L254" s="458"/>
      <c r="M254" s="137">
        <f t="shared" si="66"/>
        <v>1</v>
      </c>
      <c r="N254" s="433"/>
      <c r="O254" s="438"/>
      <c r="P254" s="87">
        <f t="shared" si="68"/>
        <v>1</v>
      </c>
      <c r="Q254" s="712">
        <f t="shared" si="61"/>
        <v>0</v>
      </c>
    </row>
    <row r="255" spans="1:17" s="9" customFormat="1" ht="32.25" customHeight="1" x14ac:dyDescent="0.25">
      <c r="A255" s="89"/>
      <c r="B255" s="379"/>
      <c r="C255" s="813"/>
      <c r="D255" s="455"/>
      <c r="E255" s="428" t="s">
        <v>50</v>
      </c>
      <c r="F255" s="456"/>
      <c r="G255" s="83">
        <v>44922</v>
      </c>
      <c r="H255" s="457"/>
      <c r="I255" s="338" t="s">
        <v>189</v>
      </c>
      <c r="J255" s="335" t="s">
        <v>196</v>
      </c>
      <c r="K255" s="443">
        <v>1</v>
      </c>
      <c r="L255" s="458"/>
      <c r="M255" s="137">
        <f t="shared" si="66"/>
        <v>1</v>
      </c>
      <c r="N255" s="433"/>
      <c r="O255" s="438"/>
      <c r="P255" s="87">
        <f t="shared" si="68"/>
        <v>1</v>
      </c>
      <c r="Q255" s="712">
        <f t="shared" si="61"/>
        <v>0</v>
      </c>
    </row>
    <row r="256" spans="1:17" s="9" customFormat="1" ht="32.25" customHeight="1" x14ac:dyDescent="0.25">
      <c r="A256" s="89"/>
      <c r="B256" s="379"/>
      <c r="C256" s="813"/>
      <c r="D256" s="455"/>
      <c r="E256" s="428" t="s">
        <v>50</v>
      </c>
      <c r="F256" s="456"/>
      <c r="G256" s="83">
        <v>44922</v>
      </c>
      <c r="H256" s="457"/>
      <c r="I256" s="338" t="s">
        <v>190</v>
      </c>
      <c r="J256" s="335" t="s">
        <v>197</v>
      </c>
      <c r="K256" s="443">
        <v>1</v>
      </c>
      <c r="L256" s="458"/>
      <c r="M256" s="137">
        <f t="shared" si="66"/>
        <v>1</v>
      </c>
      <c r="N256" s="433"/>
      <c r="O256" s="438"/>
      <c r="P256" s="87">
        <f t="shared" si="68"/>
        <v>1</v>
      </c>
      <c r="Q256" s="712">
        <f t="shared" si="61"/>
        <v>0</v>
      </c>
    </row>
    <row r="257" spans="1:17" s="9" customFormat="1" ht="32.25" customHeight="1" x14ac:dyDescent="0.25">
      <c r="A257" s="89"/>
      <c r="B257" s="379"/>
      <c r="C257" s="813"/>
      <c r="D257" s="455"/>
      <c r="E257" s="428" t="s">
        <v>50</v>
      </c>
      <c r="F257" s="456"/>
      <c r="G257" s="83">
        <v>44922</v>
      </c>
      <c r="H257" s="457"/>
      <c r="I257" s="338" t="s">
        <v>191</v>
      </c>
      <c r="J257" s="335" t="s">
        <v>198</v>
      </c>
      <c r="K257" s="443">
        <v>1</v>
      </c>
      <c r="L257" s="458"/>
      <c r="M257" s="137">
        <f t="shared" si="66"/>
        <v>1</v>
      </c>
      <c r="N257" s="433"/>
      <c r="O257" s="438"/>
      <c r="P257" s="87">
        <f t="shared" si="68"/>
        <v>1</v>
      </c>
      <c r="Q257" s="712">
        <f t="shared" si="61"/>
        <v>0</v>
      </c>
    </row>
    <row r="258" spans="1:17" s="9" customFormat="1" ht="32.25" customHeight="1" x14ac:dyDescent="0.25">
      <c r="A258" s="89"/>
      <c r="B258" s="379"/>
      <c r="C258" s="813"/>
      <c r="D258" s="455"/>
      <c r="E258" s="428" t="s">
        <v>50</v>
      </c>
      <c r="F258" s="456"/>
      <c r="G258" s="83">
        <v>44922</v>
      </c>
      <c r="H258" s="457"/>
      <c r="I258" s="338" t="s">
        <v>192</v>
      </c>
      <c r="J258" s="335" t="s">
        <v>199</v>
      </c>
      <c r="K258" s="443">
        <v>1</v>
      </c>
      <c r="L258" s="458"/>
      <c r="M258" s="137">
        <f t="shared" si="66"/>
        <v>1</v>
      </c>
      <c r="N258" s="433"/>
      <c r="O258" s="438"/>
      <c r="P258" s="87">
        <f t="shared" si="68"/>
        <v>1</v>
      </c>
      <c r="Q258" s="712">
        <f t="shared" si="61"/>
        <v>0</v>
      </c>
    </row>
    <row r="259" spans="1:17" s="9" customFormat="1" ht="32.25" customHeight="1" x14ac:dyDescent="0.25">
      <c r="A259" s="89"/>
      <c r="B259" s="379"/>
      <c r="C259" s="813"/>
      <c r="D259" s="455"/>
      <c r="E259" s="428" t="s">
        <v>50</v>
      </c>
      <c r="F259" s="456"/>
      <c r="G259" s="83">
        <v>44922</v>
      </c>
      <c r="H259" s="457"/>
      <c r="I259" s="338" t="s">
        <v>193</v>
      </c>
      <c r="J259" s="335" t="s">
        <v>200</v>
      </c>
      <c r="K259" s="443">
        <v>1</v>
      </c>
      <c r="L259" s="458"/>
      <c r="M259" s="137">
        <f t="shared" si="66"/>
        <v>1</v>
      </c>
      <c r="N259" s="433"/>
      <c r="O259" s="438"/>
      <c r="P259" s="87">
        <f t="shared" si="68"/>
        <v>1</v>
      </c>
      <c r="Q259" s="712">
        <f t="shared" si="61"/>
        <v>0</v>
      </c>
    </row>
    <row r="260" spans="1:17" s="9" customFormat="1" ht="32.25" customHeight="1" x14ac:dyDescent="0.25">
      <c r="A260" s="89"/>
      <c r="B260" s="379"/>
      <c r="C260" s="813"/>
      <c r="D260" s="455"/>
      <c r="E260" s="428" t="s">
        <v>50</v>
      </c>
      <c r="F260" s="456"/>
      <c r="G260" s="83">
        <v>44922</v>
      </c>
      <c r="H260" s="457"/>
      <c r="I260" s="338" t="s">
        <v>194</v>
      </c>
      <c r="J260" s="335" t="s">
        <v>201</v>
      </c>
      <c r="K260" s="443">
        <v>1</v>
      </c>
      <c r="L260" s="458"/>
      <c r="M260" s="137">
        <f t="shared" si="66"/>
        <v>1</v>
      </c>
      <c r="N260" s="433"/>
      <c r="O260" s="438"/>
      <c r="P260" s="87">
        <f t="shared" si="68"/>
        <v>1</v>
      </c>
      <c r="Q260" s="712">
        <f t="shared" si="61"/>
        <v>0</v>
      </c>
    </row>
    <row r="261" spans="1:17" s="154" customFormat="1" ht="22.65" customHeight="1" x14ac:dyDescent="0.25">
      <c r="A261" s="143" t="s">
        <v>26</v>
      </c>
      <c r="B261" s="144"/>
      <c r="C261" s="150"/>
      <c r="D261" s="146"/>
      <c r="E261" s="146"/>
      <c r="F261" s="147"/>
      <c r="G261" s="147"/>
      <c r="H261" s="370"/>
      <c r="I261" s="149"/>
      <c r="J261" s="184"/>
      <c r="K261" s="150"/>
      <c r="L261" s="152"/>
      <c r="M261" s="153"/>
      <c r="N261" s="151"/>
      <c r="O261" s="152"/>
      <c r="P261" s="153"/>
      <c r="Q261" s="712">
        <f t="shared" si="61"/>
        <v>0</v>
      </c>
    </row>
    <row r="262" spans="1:17" s="40" customFormat="1" ht="20.25" customHeight="1" x14ac:dyDescent="0.3">
      <c r="A262" s="339" t="s">
        <v>46</v>
      </c>
      <c r="B262" s="396"/>
      <c r="C262" s="646"/>
      <c r="D262" s="398"/>
      <c r="E262" s="398"/>
      <c r="F262" s="399"/>
      <c r="G262" s="399"/>
      <c r="H262" s="400"/>
      <c r="I262" s="401"/>
      <c r="J262" s="402"/>
      <c r="K262" s="403"/>
      <c r="L262" s="400"/>
      <c r="M262" s="404"/>
      <c r="N262" s="404"/>
      <c r="O262" s="400"/>
      <c r="P262" s="404"/>
      <c r="Q262" s="712">
        <f t="shared" si="61"/>
        <v>0</v>
      </c>
    </row>
    <row r="263" spans="1:17" s="121" customFormat="1" ht="24" customHeight="1" x14ac:dyDescent="0.25">
      <c r="A263" s="78"/>
      <c r="B263" s="78"/>
      <c r="C263" s="469" t="s">
        <v>1</v>
      </c>
      <c r="D263" s="426"/>
      <c r="E263" s="337" t="s">
        <v>49</v>
      </c>
      <c r="F263" s="567">
        <v>1111302.06</v>
      </c>
      <c r="G263" s="94">
        <v>43809</v>
      </c>
      <c r="H263" s="90"/>
      <c r="I263" s="392" t="s">
        <v>64</v>
      </c>
      <c r="J263" s="393" t="s">
        <v>65</v>
      </c>
      <c r="K263" s="582">
        <v>1</v>
      </c>
      <c r="L263" s="347"/>
      <c r="M263" s="394">
        <f>K263</f>
        <v>1</v>
      </c>
      <c r="N263" s="395"/>
      <c r="O263" s="347"/>
      <c r="P263" s="394">
        <f t="shared" ref="P263:P281" si="69">K263-N263</f>
        <v>1</v>
      </c>
      <c r="Q263" s="712">
        <f t="shared" si="61"/>
        <v>0</v>
      </c>
    </row>
    <row r="264" spans="1:17" s="121" customFormat="1" ht="24" customHeight="1" x14ac:dyDescent="0.25">
      <c r="A264" s="78"/>
      <c r="B264" s="78"/>
      <c r="C264" s="469"/>
      <c r="D264" s="426"/>
      <c r="E264" s="341" t="s">
        <v>701</v>
      </c>
      <c r="F264" s="672" t="s">
        <v>820</v>
      </c>
      <c r="G264" s="94">
        <v>45355</v>
      </c>
      <c r="H264" s="90"/>
      <c r="I264" s="392" t="s">
        <v>819</v>
      </c>
      <c r="J264" s="393" t="s">
        <v>818</v>
      </c>
      <c r="K264" s="582">
        <v>1</v>
      </c>
      <c r="L264" s="347"/>
      <c r="M264" s="394">
        <f>K264</f>
        <v>1</v>
      </c>
      <c r="N264" s="395"/>
      <c r="O264" s="347"/>
      <c r="P264" s="394">
        <f t="shared" ref="P264" si="70">K264-N264</f>
        <v>1</v>
      </c>
      <c r="Q264" s="712"/>
    </row>
    <row r="265" spans="1:17" s="121" customFormat="1" ht="24" customHeight="1" x14ac:dyDescent="0.25">
      <c r="A265" s="78"/>
      <c r="B265" s="78"/>
      <c r="C265" s="469"/>
      <c r="D265" s="426"/>
      <c r="E265" s="337" t="s">
        <v>383</v>
      </c>
      <c r="F265" s="567"/>
      <c r="G265" s="94">
        <v>45238</v>
      </c>
      <c r="H265" s="90"/>
      <c r="I265" s="602" t="s">
        <v>516</v>
      </c>
      <c r="J265" s="581" t="s">
        <v>517</v>
      </c>
      <c r="K265" s="582">
        <v>1</v>
      </c>
      <c r="L265" s="347"/>
      <c r="M265" s="394">
        <f>K265</f>
        <v>1</v>
      </c>
      <c r="N265" s="395"/>
      <c r="O265" s="347"/>
      <c r="P265" s="394">
        <f t="shared" si="69"/>
        <v>1</v>
      </c>
      <c r="Q265" s="712">
        <f t="shared" si="61"/>
        <v>0</v>
      </c>
    </row>
    <row r="266" spans="1:17" s="121" customFormat="1" ht="24" customHeight="1" x14ac:dyDescent="0.25">
      <c r="A266" s="78"/>
      <c r="B266" s="78"/>
      <c r="C266" s="469"/>
      <c r="D266" s="426"/>
      <c r="E266" s="337" t="s">
        <v>383</v>
      </c>
      <c r="F266" s="567"/>
      <c r="G266" s="354">
        <v>45245</v>
      </c>
      <c r="H266" s="90"/>
      <c r="I266" s="603" t="s">
        <v>531</v>
      </c>
      <c r="J266" s="588" t="s">
        <v>530</v>
      </c>
      <c r="K266" s="589">
        <v>1</v>
      </c>
      <c r="L266" s="347"/>
      <c r="M266" s="394">
        <f>K266</f>
        <v>1</v>
      </c>
      <c r="N266" s="395"/>
      <c r="O266" s="347"/>
      <c r="P266" s="394">
        <f t="shared" si="69"/>
        <v>1</v>
      </c>
      <c r="Q266" s="712">
        <f t="shared" si="61"/>
        <v>0</v>
      </c>
    </row>
    <row r="267" spans="1:17" s="121" customFormat="1" ht="23.25" customHeight="1" x14ac:dyDescent="0.25">
      <c r="A267" s="78"/>
      <c r="B267" s="78"/>
      <c r="C267" s="647"/>
      <c r="D267" s="80"/>
      <c r="E267" s="341" t="s">
        <v>49</v>
      </c>
      <c r="F267" s="566">
        <v>1895587.46</v>
      </c>
      <c r="G267" s="83">
        <v>43648</v>
      </c>
      <c r="H267" s="90"/>
      <c r="I267" s="344"/>
      <c r="J267" s="345" t="s">
        <v>62</v>
      </c>
      <c r="K267" s="346">
        <v>1</v>
      </c>
      <c r="L267" s="347"/>
      <c r="M267" s="348">
        <f>K267</f>
        <v>1</v>
      </c>
      <c r="N267" s="349"/>
      <c r="O267" s="347"/>
      <c r="P267" s="394">
        <f t="shared" si="69"/>
        <v>1</v>
      </c>
      <c r="Q267" s="712">
        <f t="shared" si="61"/>
        <v>0</v>
      </c>
    </row>
    <row r="268" spans="1:17" s="121" customFormat="1" ht="25.5" customHeight="1" x14ac:dyDescent="0.25">
      <c r="A268" s="78"/>
      <c r="B268" s="78"/>
      <c r="C268" s="647"/>
      <c r="D268" s="80"/>
      <c r="E268" s="341" t="s">
        <v>49</v>
      </c>
      <c r="F268" s="566">
        <v>318733.33</v>
      </c>
      <c r="G268" s="452">
        <v>44776</v>
      </c>
      <c r="H268" s="90"/>
      <c r="I268" s="344" t="s">
        <v>122</v>
      </c>
      <c r="J268" s="362" t="s">
        <v>121</v>
      </c>
      <c r="K268" s="346">
        <v>1</v>
      </c>
      <c r="L268" s="347"/>
      <c r="M268" s="348">
        <f t="shared" ref="M268:M281" si="71">K268</f>
        <v>1</v>
      </c>
      <c r="N268" s="585"/>
      <c r="O268" s="347"/>
      <c r="P268" s="394">
        <f t="shared" si="69"/>
        <v>1</v>
      </c>
      <c r="Q268" s="712">
        <f t="shared" si="61"/>
        <v>0</v>
      </c>
    </row>
    <row r="269" spans="1:17" s="121" customFormat="1" ht="25.5" customHeight="1" x14ac:dyDescent="0.25">
      <c r="A269" s="78"/>
      <c r="B269" s="78"/>
      <c r="C269" s="647"/>
      <c r="D269" s="80"/>
      <c r="E269" s="611" t="s">
        <v>49</v>
      </c>
      <c r="F269" s="673"/>
      <c r="G269" s="613">
        <v>45077</v>
      </c>
      <c r="H269" s="90"/>
      <c r="I269" s="604" t="s">
        <v>285</v>
      </c>
      <c r="J269" s="605" t="s">
        <v>286</v>
      </c>
      <c r="K269" s="606">
        <v>1</v>
      </c>
      <c r="L269" s="607"/>
      <c r="M269" s="608">
        <f t="shared" si="71"/>
        <v>1</v>
      </c>
      <c r="N269" s="609"/>
      <c r="O269" s="607"/>
      <c r="P269" s="610">
        <f t="shared" si="69"/>
        <v>1</v>
      </c>
      <c r="Q269" s="712">
        <f t="shared" si="61"/>
        <v>0</v>
      </c>
    </row>
    <row r="270" spans="1:17" s="121" customFormat="1" ht="25.5" customHeight="1" x14ac:dyDescent="0.25">
      <c r="A270" s="78"/>
      <c r="B270" s="78"/>
      <c r="C270" s="647"/>
      <c r="D270" s="80"/>
      <c r="E270" s="611" t="s">
        <v>49</v>
      </c>
      <c r="F270" s="673"/>
      <c r="G270" s="613">
        <v>45077</v>
      </c>
      <c r="H270" s="90"/>
      <c r="I270" s="604" t="s">
        <v>287</v>
      </c>
      <c r="J270" s="605" t="s">
        <v>529</v>
      </c>
      <c r="K270" s="606">
        <v>1</v>
      </c>
      <c r="L270" s="607"/>
      <c r="M270" s="608">
        <f t="shared" si="71"/>
        <v>1</v>
      </c>
      <c r="N270" s="609"/>
      <c r="O270" s="607"/>
      <c r="P270" s="610">
        <f t="shared" si="69"/>
        <v>1</v>
      </c>
      <c r="Q270" s="712">
        <f t="shared" si="61"/>
        <v>0</v>
      </c>
    </row>
    <row r="271" spans="1:17" s="121" customFormat="1" ht="23.25" customHeight="1" x14ac:dyDescent="0.25">
      <c r="A271" s="78"/>
      <c r="B271" s="78"/>
      <c r="C271" s="647"/>
      <c r="D271" s="350"/>
      <c r="E271" s="341" t="s">
        <v>49</v>
      </c>
      <c r="F271" s="566">
        <v>547847.63</v>
      </c>
      <c r="G271" s="452">
        <v>44706</v>
      </c>
      <c r="H271" s="90"/>
      <c r="I271" s="344" t="s">
        <v>108</v>
      </c>
      <c r="J271" s="362" t="s">
        <v>107</v>
      </c>
      <c r="K271" s="346">
        <v>1</v>
      </c>
      <c r="L271" s="347"/>
      <c r="M271" s="348">
        <f t="shared" si="71"/>
        <v>1</v>
      </c>
      <c r="N271" s="487"/>
      <c r="O271" s="347"/>
      <c r="P271" s="394">
        <f t="shared" si="69"/>
        <v>1</v>
      </c>
      <c r="Q271" s="712">
        <f t="shared" si="61"/>
        <v>0</v>
      </c>
    </row>
    <row r="272" spans="1:17" s="121" customFormat="1" ht="23.25" customHeight="1" x14ac:dyDescent="0.25">
      <c r="A272" s="78"/>
      <c r="B272" s="78"/>
      <c r="C272" s="647"/>
      <c r="D272" s="504"/>
      <c r="E272" s="341" t="s">
        <v>667</v>
      </c>
      <c r="F272" s="674"/>
      <c r="G272" s="505">
        <v>45341</v>
      </c>
      <c r="H272" s="64"/>
      <c r="I272" s="344" t="s">
        <v>784</v>
      </c>
      <c r="J272" s="362" t="s">
        <v>783</v>
      </c>
      <c r="K272" s="346">
        <v>1</v>
      </c>
      <c r="L272" s="506"/>
      <c r="M272" s="348">
        <f t="shared" si="71"/>
        <v>1</v>
      </c>
      <c r="N272" s="487"/>
      <c r="O272" s="347"/>
      <c r="P272" s="394">
        <f t="shared" si="69"/>
        <v>1</v>
      </c>
      <c r="Q272" s="712">
        <f t="shared" si="61"/>
        <v>0</v>
      </c>
    </row>
    <row r="273" spans="1:17" s="121" customFormat="1" ht="23.25" customHeight="1" x14ac:dyDescent="0.25">
      <c r="A273" s="78"/>
      <c r="B273" s="78"/>
      <c r="C273" s="647"/>
      <c r="D273" s="504"/>
      <c r="E273" s="341" t="s">
        <v>701</v>
      </c>
      <c r="F273" s="674"/>
      <c r="G273" s="505">
        <v>45306</v>
      </c>
      <c r="H273" s="64"/>
      <c r="I273" s="344" t="s">
        <v>704</v>
      </c>
      <c r="J273" s="362" t="s">
        <v>702</v>
      </c>
      <c r="K273" s="346">
        <v>1</v>
      </c>
      <c r="L273" s="506"/>
      <c r="M273" s="348">
        <f t="shared" si="71"/>
        <v>1</v>
      </c>
      <c r="N273" s="487">
        <v>1</v>
      </c>
      <c r="O273" s="347"/>
      <c r="P273" s="394">
        <f t="shared" si="69"/>
        <v>0</v>
      </c>
      <c r="Q273" s="712">
        <f t="shared" si="61"/>
        <v>1</v>
      </c>
    </row>
    <row r="274" spans="1:17" s="121" customFormat="1" ht="23.25" customHeight="1" x14ac:dyDescent="0.25">
      <c r="A274" s="78"/>
      <c r="B274" s="78"/>
      <c r="C274" s="647"/>
      <c r="D274" s="504"/>
      <c r="E274" s="341" t="s">
        <v>850</v>
      </c>
      <c r="F274" s="674"/>
      <c r="G274" s="505">
        <v>45365</v>
      </c>
      <c r="H274" s="64"/>
      <c r="I274" s="344" t="s">
        <v>852</v>
      </c>
      <c r="J274" s="362" t="s">
        <v>851</v>
      </c>
      <c r="K274" s="346">
        <v>1</v>
      </c>
      <c r="L274" s="506"/>
      <c r="M274" s="348">
        <f t="shared" si="71"/>
        <v>1</v>
      </c>
      <c r="N274" s="487"/>
      <c r="O274" s="347"/>
      <c r="P274" s="394">
        <f t="shared" si="69"/>
        <v>1</v>
      </c>
      <c r="Q274" s="712"/>
    </row>
    <row r="275" spans="1:17" s="121" customFormat="1" ht="23.25" customHeight="1" x14ac:dyDescent="0.25">
      <c r="A275" s="78"/>
      <c r="B275" s="78"/>
      <c r="C275" s="647"/>
      <c r="D275" s="504"/>
      <c r="E275" s="341" t="s">
        <v>701</v>
      </c>
      <c r="F275" s="713" t="s">
        <v>835</v>
      </c>
      <c r="G275" s="505">
        <v>45306</v>
      </c>
      <c r="H275" s="64"/>
      <c r="I275" s="344" t="s">
        <v>705</v>
      </c>
      <c r="J275" s="362" t="s">
        <v>703</v>
      </c>
      <c r="K275" s="346">
        <v>1</v>
      </c>
      <c r="L275" s="506"/>
      <c r="M275" s="348">
        <f t="shared" si="71"/>
        <v>1</v>
      </c>
      <c r="N275" s="487"/>
      <c r="O275" s="347"/>
      <c r="P275" s="394">
        <f t="shared" si="69"/>
        <v>1</v>
      </c>
      <c r="Q275" s="712">
        <f t="shared" si="61"/>
        <v>0</v>
      </c>
    </row>
    <row r="276" spans="1:17" s="121" customFormat="1" ht="23.25" customHeight="1" x14ac:dyDescent="0.25">
      <c r="A276" s="78"/>
      <c r="B276" s="78"/>
      <c r="C276" s="647"/>
      <c r="D276" s="504"/>
      <c r="E276" s="341" t="s">
        <v>706</v>
      </c>
      <c r="F276" s="674"/>
      <c r="G276" s="505">
        <v>45306</v>
      </c>
      <c r="H276" s="64"/>
      <c r="I276" s="344" t="s">
        <v>710</v>
      </c>
      <c r="J276" s="362" t="s">
        <v>707</v>
      </c>
      <c r="K276" s="346">
        <v>3</v>
      </c>
      <c r="L276" s="506"/>
      <c r="M276" s="348">
        <f t="shared" si="71"/>
        <v>3</v>
      </c>
      <c r="N276" s="487"/>
      <c r="O276" s="347"/>
      <c r="P276" s="394">
        <f t="shared" si="69"/>
        <v>3</v>
      </c>
      <c r="Q276" s="712">
        <f t="shared" si="61"/>
        <v>0</v>
      </c>
    </row>
    <row r="277" spans="1:17" s="121" customFormat="1" ht="23.25" customHeight="1" x14ac:dyDescent="0.25">
      <c r="A277" s="78"/>
      <c r="B277" s="78"/>
      <c r="C277" s="647"/>
      <c r="D277" s="504"/>
      <c r="E277" s="341" t="s">
        <v>706</v>
      </c>
      <c r="F277" s="674"/>
      <c r="G277" s="505">
        <v>45306</v>
      </c>
      <c r="H277" s="64"/>
      <c r="I277" s="344" t="s">
        <v>711</v>
      </c>
      <c r="J277" s="362" t="s">
        <v>708</v>
      </c>
      <c r="K277" s="346">
        <v>4</v>
      </c>
      <c r="L277" s="506"/>
      <c r="M277" s="348">
        <f t="shared" si="71"/>
        <v>4</v>
      </c>
      <c r="N277" s="487"/>
      <c r="O277" s="347"/>
      <c r="P277" s="394">
        <f t="shared" si="69"/>
        <v>4</v>
      </c>
      <c r="Q277" s="712">
        <f t="shared" si="61"/>
        <v>0</v>
      </c>
    </row>
    <row r="278" spans="1:17" s="121" customFormat="1" ht="23.25" customHeight="1" x14ac:dyDescent="0.25">
      <c r="A278" s="78"/>
      <c r="B278" s="78"/>
      <c r="C278" s="647"/>
      <c r="D278" s="504"/>
      <c r="E278" s="341" t="s">
        <v>706</v>
      </c>
      <c r="F278" s="674"/>
      <c r="G278" s="505">
        <v>45306</v>
      </c>
      <c r="H278" s="64"/>
      <c r="I278" s="344" t="s">
        <v>712</v>
      </c>
      <c r="J278" s="362" t="s">
        <v>709</v>
      </c>
      <c r="K278" s="346">
        <v>1</v>
      </c>
      <c r="L278" s="506"/>
      <c r="M278" s="348">
        <f t="shared" si="71"/>
        <v>1</v>
      </c>
      <c r="N278" s="487"/>
      <c r="O278" s="347"/>
      <c r="P278" s="394">
        <f t="shared" si="69"/>
        <v>1</v>
      </c>
      <c r="Q278" s="712">
        <f t="shared" si="61"/>
        <v>0</v>
      </c>
    </row>
    <row r="279" spans="1:17" s="121" customFormat="1" ht="27.75" customHeight="1" x14ac:dyDescent="0.25">
      <c r="A279" s="78"/>
      <c r="B279" s="78"/>
      <c r="C279" s="647"/>
      <c r="D279" s="504"/>
      <c r="E279" s="341" t="s">
        <v>49</v>
      </c>
      <c r="F279" s="674">
        <v>282465.37</v>
      </c>
      <c r="G279" s="505">
        <v>45085</v>
      </c>
      <c r="H279" s="64"/>
      <c r="I279" s="344" t="s">
        <v>283</v>
      </c>
      <c r="J279" s="362" t="s">
        <v>282</v>
      </c>
      <c r="K279" s="346">
        <v>1</v>
      </c>
      <c r="L279" s="506"/>
      <c r="M279" s="348">
        <f t="shared" si="71"/>
        <v>1</v>
      </c>
      <c r="N279" s="487"/>
      <c r="O279" s="347"/>
      <c r="P279" s="394">
        <f t="shared" si="69"/>
        <v>1</v>
      </c>
      <c r="Q279" s="712">
        <f t="shared" si="61"/>
        <v>0</v>
      </c>
    </row>
    <row r="280" spans="1:17" s="121" customFormat="1" ht="23.25" customHeight="1" x14ac:dyDescent="0.25">
      <c r="A280" s="78"/>
      <c r="B280" s="78"/>
      <c r="C280" s="647"/>
      <c r="D280" s="504"/>
      <c r="E280" s="341" t="s">
        <v>49</v>
      </c>
      <c r="F280" s="674">
        <v>30022.07</v>
      </c>
      <c r="G280" s="505">
        <v>45058</v>
      </c>
      <c r="H280" s="64"/>
      <c r="I280" s="344" t="s">
        <v>271</v>
      </c>
      <c r="J280" s="362" t="s">
        <v>272</v>
      </c>
      <c r="K280" s="346">
        <v>1</v>
      </c>
      <c r="L280" s="506"/>
      <c r="M280" s="348">
        <f t="shared" si="71"/>
        <v>1</v>
      </c>
      <c r="N280" s="487"/>
      <c r="O280" s="347"/>
      <c r="P280" s="394">
        <f t="shared" si="69"/>
        <v>1</v>
      </c>
      <c r="Q280" s="712">
        <f t="shared" si="61"/>
        <v>0</v>
      </c>
    </row>
    <row r="281" spans="1:17" s="121" customFormat="1" ht="19.5" customHeight="1" x14ac:dyDescent="0.25">
      <c r="A281" s="162"/>
      <c r="B281" s="162"/>
      <c r="C281" s="648"/>
      <c r="D281" s="253"/>
      <c r="E281" s="492" t="s">
        <v>49</v>
      </c>
      <c r="F281" s="675">
        <v>155538.71</v>
      </c>
      <c r="G281" s="494">
        <v>43508</v>
      </c>
      <c r="H281" s="495"/>
      <c r="I281" s="496" t="s">
        <v>57</v>
      </c>
      <c r="J281" s="497" t="s">
        <v>58</v>
      </c>
      <c r="K281" s="498">
        <v>1</v>
      </c>
      <c r="L281" s="499"/>
      <c r="M281" s="500">
        <f t="shared" si="71"/>
        <v>1</v>
      </c>
      <c r="N281" s="501"/>
      <c r="O281" s="499"/>
      <c r="P281" s="502">
        <f t="shared" si="69"/>
        <v>1</v>
      </c>
      <c r="Q281" s="712">
        <f t="shared" si="61"/>
        <v>0</v>
      </c>
    </row>
    <row r="282" spans="1:17" s="154" customFormat="1" ht="22.65" customHeight="1" x14ac:dyDescent="0.25">
      <c r="A282" s="491" t="s">
        <v>47</v>
      </c>
      <c r="B282" s="381"/>
      <c r="C282" s="387"/>
      <c r="D282" s="383"/>
      <c r="E282" s="383"/>
      <c r="F282" s="676">
        <f>SUM(F263:F281)</f>
        <v>4341496.63</v>
      </c>
      <c r="G282" s="384"/>
      <c r="H282" s="370"/>
      <c r="I282" s="385"/>
      <c r="J282" s="386"/>
      <c r="K282" s="387"/>
      <c r="L282" s="152"/>
      <c r="M282" s="389"/>
      <c r="N282" s="388"/>
      <c r="O282" s="152"/>
      <c r="P282" s="389"/>
      <c r="Q282" s="712">
        <f t="shared" si="61"/>
        <v>0</v>
      </c>
    </row>
    <row r="283" spans="1:17" s="195" customFormat="1" ht="21" customHeight="1" x14ac:dyDescent="0.25">
      <c r="A283" s="185" t="s">
        <v>23</v>
      </c>
      <c r="B283" s="186"/>
      <c r="C283" s="192"/>
      <c r="D283" s="188"/>
      <c r="E283" s="188"/>
      <c r="F283" s="576">
        <f>F202+F198+F188+F117+F95+F12+F282+F261+F236+F205+F36</f>
        <v>10589306.969999999</v>
      </c>
      <c r="G283" s="189"/>
      <c r="H283" s="371"/>
      <c r="I283" s="191"/>
      <c r="J283" s="186"/>
      <c r="K283" s="192">
        <f>SUM(K13:K282)</f>
        <v>2006</v>
      </c>
      <c r="L283" s="194"/>
      <c r="M283" s="192">
        <f>SUM(M13:M282)</f>
        <v>1974</v>
      </c>
      <c r="N283" s="533">
        <f>SUM(N13:N282)</f>
        <v>164</v>
      </c>
      <c r="O283" s="194"/>
      <c r="P283" s="192">
        <f>SUM(P13:P282)</f>
        <v>1790</v>
      </c>
      <c r="Q283" s="712">
        <f t="shared" si="61"/>
        <v>184</v>
      </c>
    </row>
    <row r="284" spans="1:17" s="40" customFormat="1" ht="23.25" hidden="1" customHeight="1" x14ac:dyDescent="0.3">
      <c r="A284" s="196" t="s">
        <v>4</v>
      </c>
      <c r="B284" s="36"/>
      <c r="C284" s="638"/>
      <c r="D284" s="38"/>
      <c r="E284" s="38"/>
      <c r="F284" s="39"/>
      <c r="G284" s="39"/>
      <c r="H284" s="197"/>
      <c r="I284" s="198"/>
      <c r="J284" s="156"/>
      <c r="K284" s="157"/>
      <c r="L284" s="197"/>
      <c r="M284" s="158"/>
      <c r="N284" s="158"/>
      <c r="O284" s="197"/>
      <c r="P284" s="158"/>
    </row>
    <row r="285" spans="1:17" s="40" customFormat="1" ht="23.25" hidden="1" customHeight="1" x14ac:dyDescent="0.3">
      <c r="A285" s="199" t="s">
        <v>6</v>
      </c>
      <c r="B285" s="200"/>
      <c r="C285" s="645"/>
      <c r="D285" s="38"/>
      <c r="E285" s="38"/>
      <c r="F285" s="39"/>
      <c r="G285" s="39"/>
      <c r="H285" s="202"/>
      <c r="I285" s="203"/>
      <c r="J285" s="156"/>
      <c r="K285" s="204"/>
      <c r="L285" s="155"/>
      <c r="M285" s="159"/>
      <c r="N285" s="159"/>
      <c r="O285" s="155"/>
      <c r="P285" s="159"/>
    </row>
    <row r="286" spans="1:17" s="9" customFormat="1" ht="16.5" hidden="1" customHeight="1" x14ac:dyDescent="0.25">
      <c r="A286" s="97"/>
      <c r="B286" s="96" t="s">
        <v>36</v>
      </c>
      <c r="C286" s="642"/>
      <c r="D286" s="98"/>
      <c r="E286" s="99"/>
      <c r="F286" s="100"/>
      <c r="G286" s="101"/>
      <c r="H286" s="102"/>
      <c r="I286" s="103"/>
      <c r="J286" s="105"/>
      <c r="K286" s="106"/>
      <c r="L286" s="53"/>
      <c r="M286" s="54"/>
      <c r="N286" s="55"/>
      <c r="O286" s="53"/>
      <c r="P286" s="54"/>
    </row>
    <row r="287" spans="1:17" s="121" customFormat="1" ht="24.75" hidden="1" customHeight="1" x14ac:dyDescent="0.25">
      <c r="A287" s="116"/>
      <c r="B287" s="117"/>
      <c r="C287" s="808"/>
      <c r="D287" s="73"/>
      <c r="E287" s="92"/>
      <c r="F287" s="82"/>
      <c r="G287" s="83"/>
      <c r="H287" s="134"/>
      <c r="I287" s="118"/>
      <c r="J287" s="205"/>
      <c r="K287" s="120"/>
      <c r="L287" s="135"/>
      <c r="M287" s="87">
        <f>K287</f>
        <v>0</v>
      </c>
      <c r="N287" s="136" t="e">
        <f>#REF!</f>
        <v>#REF!</v>
      </c>
      <c r="O287" s="135"/>
      <c r="P287" s="69" t="e">
        <f>K287-N287</f>
        <v>#REF!</v>
      </c>
    </row>
    <row r="288" spans="1:17" s="121" customFormat="1" ht="30.75" hidden="1" customHeight="1" x14ac:dyDescent="0.25">
      <c r="A288" s="162"/>
      <c r="B288" s="163"/>
      <c r="C288" s="809"/>
      <c r="D288" s="422"/>
      <c r="E288" s="92"/>
      <c r="F288" s="93"/>
      <c r="G288" s="206"/>
      <c r="H288" s="134"/>
      <c r="I288" s="95"/>
      <c r="J288" s="207"/>
      <c r="K288" s="353"/>
      <c r="L288" s="135"/>
      <c r="M288" s="137">
        <f>K288</f>
        <v>0</v>
      </c>
      <c r="N288" s="136" t="e">
        <f>#REF!</f>
        <v>#REF!</v>
      </c>
      <c r="O288" s="135"/>
      <c r="P288" s="137" t="e">
        <f>K288-N288</f>
        <v>#REF!</v>
      </c>
    </row>
    <row r="289" spans="1:16" s="56" customFormat="1" ht="15" hidden="1" x14ac:dyDescent="0.25">
      <c r="A289" s="41"/>
      <c r="B289" s="42" t="s">
        <v>27</v>
      </c>
      <c r="C289" s="639"/>
      <c r="D289" s="44"/>
      <c r="E289" s="45"/>
      <c r="F289" s="46"/>
      <c r="G289" s="47"/>
      <c r="H289" s="48"/>
      <c r="I289" s="49"/>
      <c r="J289" s="50"/>
      <c r="K289" s="51"/>
      <c r="L289" s="53"/>
      <c r="M289" s="54"/>
      <c r="N289" s="55"/>
      <c r="O289" s="53"/>
      <c r="P289" s="54"/>
    </row>
    <row r="290" spans="1:16" s="9" customFormat="1" ht="13.2" hidden="1" x14ac:dyDescent="0.25">
      <c r="A290" s="57"/>
      <c r="B290" s="58"/>
      <c r="C290" s="649"/>
      <c r="D290" s="60"/>
      <c r="E290" s="107"/>
      <c r="F290" s="82"/>
      <c r="G290" s="83"/>
      <c r="H290" s="114"/>
      <c r="I290" s="65"/>
      <c r="J290" s="66"/>
      <c r="K290" s="67"/>
      <c r="L290" s="115"/>
      <c r="M290" s="71">
        <f>K290</f>
        <v>0</v>
      </c>
      <c r="N290" s="70" t="e">
        <f>#REF!</f>
        <v>#REF!</v>
      </c>
      <c r="O290" s="115"/>
      <c r="P290" s="71" t="e">
        <f>K290-N290</f>
        <v>#REF!</v>
      </c>
    </row>
    <row r="291" spans="1:16" s="9" customFormat="1" ht="16.5" hidden="1" customHeight="1" x14ac:dyDescent="0.25">
      <c r="A291" s="97"/>
      <c r="B291" s="96" t="s">
        <v>28</v>
      </c>
      <c r="C291" s="642"/>
      <c r="D291" s="98"/>
      <c r="E291" s="99"/>
      <c r="F291" s="100"/>
      <c r="G291" s="101"/>
      <c r="H291" s="102"/>
      <c r="I291" s="103"/>
      <c r="J291" s="105"/>
      <c r="K291" s="106"/>
      <c r="L291" s="53"/>
      <c r="M291" s="54"/>
      <c r="N291" s="55"/>
      <c r="O291" s="53"/>
      <c r="P291" s="54"/>
    </row>
    <row r="292" spans="1:16" s="9" customFormat="1" ht="13.2" hidden="1" x14ac:dyDescent="0.25">
      <c r="A292" s="57"/>
      <c r="B292" s="58"/>
      <c r="C292" s="650"/>
      <c r="D292" s="60"/>
      <c r="E292" s="61"/>
      <c r="F292" s="62"/>
      <c r="G292" s="63"/>
      <c r="H292" s="64"/>
      <c r="I292" s="65"/>
      <c r="J292" s="209"/>
      <c r="K292" s="67"/>
      <c r="L292" s="68"/>
      <c r="M292" s="71">
        <f>K292</f>
        <v>0</v>
      </c>
      <c r="N292" s="160" t="e">
        <f>#REF!</f>
        <v>#REF!</v>
      </c>
      <c r="O292" s="68"/>
      <c r="P292" s="71" t="e">
        <f>K292-N292</f>
        <v>#REF!</v>
      </c>
    </row>
    <row r="293" spans="1:16" s="9" customFormat="1" ht="16.5" hidden="1" customHeight="1" x14ac:dyDescent="0.25">
      <c r="A293" s="97"/>
      <c r="B293" s="96" t="s">
        <v>30</v>
      </c>
      <c r="C293" s="642"/>
      <c r="D293" s="98"/>
      <c r="E293" s="99"/>
      <c r="F293" s="100"/>
      <c r="G293" s="101"/>
      <c r="H293" s="102"/>
      <c r="I293" s="103"/>
      <c r="J293" s="105"/>
      <c r="K293" s="106"/>
      <c r="L293" s="53"/>
      <c r="M293" s="54"/>
      <c r="N293" s="55"/>
      <c r="O293" s="53"/>
      <c r="P293" s="54"/>
    </row>
    <row r="294" spans="1:16" s="9" customFormat="1" ht="13.2" hidden="1" x14ac:dyDescent="0.25">
      <c r="A294" s="57"/>
      <c r="B294" s="58"/>
      <c r="C294" s="650"/>
      <c r="D294" s="60"/>
      <c r="E294" s="61"/>
      <c r="F294" s="62"/>
      <c r="G294" s="63"/>
      <c r="H294" s="114"/>
      <c r="I294" s="65"/>
      <c r="J294" s="210"/>
      <c r="K294" s="67"/>
      <c r="L294" s="68"/>
      <c r="M294" s="71"/>
      <c r="N294" s="160"/>
      <c r="O294" s="68"/>
      <c r="P294" s="71">
        <f>K294-N294</f>
        <v>0</v>
      </c>
    </row>
    <row r="295" spans="1:16" s="9" customFormat="1" ht="16.5" hidden="1" customHeight="1" x14ac:dyDescent="0.25">
      <c r="A295" s="97"/>
      <c r="B295" s="96" t="s">
        <v>31</v>
      </c>
      <c r="C295" s="642"/>
      <c r="D295" s="98"/>
      <c r="E295" s="99"/>
      <c r="F295" s="100"/>
      <c r="G295" s="101"/>
      <c r="H295" s="102"/>
      <c r="I295" s="103"/>
      <c r="J295" s="105"/>
      <c r="K295" s="106"/>
      <c r="L295" s="53"/>
      <c r="M295" s="54"/>
      <c r="N295" s="55"/>
      <c r="O295" s="53"/>
      <c r="P295" s="54"/>
    </row>
    <row r="296" spans="1:16" s="9" customFormat="1" ht="50.25" hidden="1" customHeight="1" x14ac:dyDescent="0.25">
      <c r="A296" s="57"/>
      <c r="B296" s="58"/>
      <c r="C296" s="650"/>
      <c r="D296" s="60"/>
      <c r="E296" s="61"/>
      <c r="F296" s="62"/>
      <c r="G296" s="211"/>
      <c r="H296" s="173"/>
      <c r="I296" s="212"/>
      <c r="J296" s="213"/>
      <c r="K296" s="214"/>
      <c r="L296" s="68"/>
      <c r="M296" s="71"/>
      <c r="N296" s="160" t="e">
        <f>#REF!</f>
        <v>#REF!</v>
      </c>
      <c r="O296" s="68"/>
      <c r="P296" s="71" t="e">
        <f>K296-N296</f>
        <v>#REF!</v>
      </c>
    </row>
    <row r="297" spans="1:16" s="9" customFormat="1" ht="15" hidden="1" x14ac:dyDescent="0.25">
      <c r="A297" s="97"/>
      <c r="B297" s="96" t="s">
        <v>35</v>
      </c>
      <c r="C297" s="642"/>
      <c r="D297" s="215"/>
      <c r="E297" s="105"/>
      <c r="F297" s="100"/>
      <c r="G297" s="216"/>
      <c r="H297" s="217"/>
      <c r="I297" s="218"/>
      <c r="J297" s="219"/>
      <c r="K297" s="220"/>
      <c r="L297" s="221"/>
      <c r="M297" s="222"/>
      <c r="N297" s="222"/>
      <c r="O297" s="221"/>
      <c r="P297" s="222"/>
    </row>
    <row r="298" spans="1:16" s="121" customFormat="1" ht="30.75" hidden="1" customHeight="1" x14ac:dyDescent="0.25">
      <c r="A298" s="89"/>
      <c r="B298" s="223"/>
      <c r="C298" s="651"/>
      <c r="D298" s="426"/>
      <c r="E298" s="92"/>
      <c r="F298" s="82"/>
      <c r="G298" s="94"/>
      <c r="H298" s="134"/>
      <c r="I298" s="84"/>
      <c r="J298" s="85"/>
      <c r="K298" s="86"/>
      <c r="L298" s="135"/>
      <c r="M298" s="87">
        <f>K298</f>
        <v>0</v>
      </c>
      <c r="N298" s="136" t="e">
        <f>#REF!</f>
        <v>#REF!</v>
      </c>
      <c r="O298" s="135"/>
      <c r="P298" s="137" t="e">
        <f>K298-N298</f>
        <v>#REF!</v>
      </c>
    </row>
    <row r="299" spans="1:16" s="9" customFormat="1" ht="16.5" hidden="1" customHeight="1" x14ac:dyDescent="0.25">
      <c r="A299" s="97"/>
      <c r="B299" s="96"/>
      <c r="C299" s="642" t="s">
        <v>29</v>
      </c>
      <c r="D299" s="98"/>
      <c r="E299" s="99"/>
      <c r="F299" s="100"/>
      <c r="G299" s="101"/>
      <c r="H299" s="102"/>
      <c r="I299" s="103"/>
      <c r="J299" s="105"/>
      <c r="K299" s="106"/>
      <c r="L299" s="53"/>
      <c r="M299" s="54"/>
      <c r="N299" s="55"/>
      <c r="O299" s="53"/>
      <c r="P299" s="54"/>
    </row>
    <row r="300" spans="1:16" s="121" customFormat="1" ht="24.75" hidden="1" customHeight="1" x14ac:dyDescent="0.25">
      <c r="A300" s="224"/>
      <c r="B300" s="225"/>
      <c r="C300" s="652"/>
      <c r="D300" s="227"/>
      <c r="E300" s="92"/>
      <c r="F300" s="82"/>
      <c r="G300" s="83"/>
      <c r="H300" s="134"/>
      <c r="I300" s="118"/>
      <c r="J300" s="119"/>
      <c r="K300" s="120"/>
      <c r="L300" s="127"/>
      <c r="M300" s="128">
        <f>K300</f>
        <v>0</v>
      </c>
      <c r="N300" s="129"/>
      <c r="O300" s="127"/>
      <c r="P300" s="228">
        <f>K300-N300</f>
        <v>0</v>
      </c>
    </row>
    <row r="301" spans="1:16" s="110" customFormat="1" ht="21" hidden="1" customHeight="1" x14ac:dyDescent="0.25">
      <c r="A301" s="229"/>
      <c r="B301" s="230"/>
      <c r="C301" s="652"/>
      <c r="D301" s="231"/>
      <c r="E301" s="414"/>
      <c r="F301" s="232"/>
      <c r="G301" s="231"/>
      <c r="H301" s="233"/>
      <c r="I301" s="234"/>
      <c r="J301" s="235"/>
      <c r="K301" s="236"/>
      <c r="L301" s="237"/>
      <c r="M301" s="128">
        <f>K301</f>
        <v>0</v>
      </c>
      <c r="N301" s="129"/>
      <c r="O301" s="237"/>
      <c r="P301" s="128"/>
    </row>
    <row r="302" spans="1:16" s="154" customFormat="1" ht="22.65" hidden="1" customHeight="1" collapsed="1" x14ac:dyDescent="0.25">
      <c r="A302" s="143" t="s">
        <v>2</v>
      </c>
      <c r="B302" s="144"/>
      <c r="C302" s="150"/>
      <c r="D302" s="146"/>
      <c r="E302" s="146"/>
      <c r="F302" s="147"/>
      <c r="G302" s="147"/>
      <c r="H302" s="148"/>
      <c r="I302" s="149"/>
      <c r="J302" s="184"/>
      <c r="K302" s="150"/>
      <c r="L302" s="152"/>
      <c r="M302" s="151"/>
      <c r="N302" s="151"/>
      <c r="O302" s="152"/>
      <c r="P302" s="151"/>
    </row>
    <row r="303" spans="1:16" s="40" customFormat="1" ht="23.25" hidden="1" customHeight="1" x14ac:dyDescent="0.3">
      <c r="A303" s="35" t="s">
        <v>7</v>
      </c>
      <c r="B303" s="36"/>
      <c r="C303" s="638"/>
      <c r="D303" s="38"/>
      <c r="E303" s="38"/>
      <c r="F303" s="39"/>
      <c r="G303" s="39"/>
      <c r="H303" s="197"/>
      <c r="I303" s="198"/>
      <c r="J303" s="156"/>
      <c r="K303" s="157"/>
      <c r="L303" s="155"/>
      <c r="M303" s="158"/>
      <c r="N303" s="158"/>
      <c r="O303" s="155"/>
      <c r="P303" s="158"/>
    </row>
    <row r="304" spans="1:16" s="40" customFormat="1" ht="23.25" hidden="1" customHeight="1" x14ac:dyDescent="0.3">
      <c r="A304" s="238"/>
      <c r="B304" s="239" t="s">
        <v>8</v>
      </c>
      <c r="C304" s="653"/>
      <c r="D304" s="241"/>
      <c r="E304" s="242"/>
      <c r="F304" s="243"/>
      <c r="G304" s="244"/>
      <c r="H304" s="245"/>
      <c r="I304" s="246"/>
      <c r="J304" s="247"/>
      <c r="K304" s="248"/>
      <c r="L304" s="249"/>
      <c r="M304" s="250"/>
      <c r="N304" s="251"/>
      <c r="O304" s="249"/>
      <c r="P304" s="250"/>
    </row>
    <row r="305" spans="1:16" s="121" customFormat="1" ht="52.5" hidden="1" customHeight="1" x14ac:dyDescent="0.25">
      <c r="A305" s="162"/>
      <c r="B305" s="163"/>
      <c r="C305" s="648"/>
      <c r="D305" s="253"/>
      <c r="E305" s="81"/>
      <c r="F305" s="82"/>
      <c r="G305" s="83"/>
      <c r="H305" s="134"/>
      <c r="I305" s="84"/>
      <c r="J305" s="85"/>
      <c r="K305" s="86"/>
      <c r="L305" s="135"/>
      <c r="M305" s="87">
        <f>K305</f>
        <v>0</v>
      </c>
      <c r="N305" s="160" t="e">
        <f>#REF!</f>
        <v>#REF!</v>
      </c>
      <c r="O305" s="135"/>
      <c r="P305" s="87" t="e">
        <f>K305-N305</f>
        <v>#REF!</v>
      </c>
    </row>
    <row r="306" spans="1:16" s="56" customFormat="1" ht="15" hidden="1" x14ac:dyDescent="0.25">
      <c r="A306" s="41"/>
      <c r="B306" s="96" t="s">
        <v>32</v>
      </c>
      <c r="C306" s="642"/>
      <c r="D306" s="44"/>
      <c r="E306" s="45"/>
      <c r="F306" s="46"/>
      <c r="G306" s="47"/>
      <c r="H306" s="48"/>
      <c r="I306" s="49"/>
      <c r="J306" s="50"/>
      <c r="K306" s="51"/>
      <c r="L306" s="53"/>
      <c r="M306" s="54"/>
      <c r="N306" s="55"/>
      <c r="O306" s="53"/>
      <c r="P306" s="54"/>
    </row>
    <row r="307" spans="1:16" s="121" customFormat="1" ht="13.2" hidden="1" x14ac:dyDescent="0.25">
      <c r="A307" s="116"/>
      <c r="B307" s="117"/>
      <c r="C307" s="654"/>
      <c r="D307" s="73"/>
      <c r="E307" s="254"/>
      <c r="F307" s="170"/>
      <c r="G307" s="83"/>
      <c r="H307" s="134"/>
      <c r="I307" s="118"/>
      <c r="J307" s="119"/>
      <c r="K307" s="120"/>
      <c r="L307" s="91"/>
      <c r="M307" s="87">
        <f>K307</f>
        <v>0</v>
      </c>
      <c r="N307" s="88"/>
      <c r="O307" s="91"/>
      <c r="P307" s="87">
        <f>K307-N307</f>
        <v>0</v>
      </c>
    </row>
    <row r="308" spans="1:16" s="9" customFormat="1" ht="15.75" hidden="1" customHeight="1" x14ac:dyDescent="0.25">
      <c r="A308" s="255"/>
      <c r="B308" s="256"/>
      <c r="C308" s="647"/>
      <c r="D308" s="426"/>
      <c r="E308" s="92"/>
      <c r="F308" s="93"/>
      <c r="G308" s="257"/>
      <c r="H308" s="114"/>
      <c r="I308" s="95"/>
      <c r="J308" s="207"/>
      <c r="K308" s="372"/>
      <c r="L308" s="135"/>
      <c r="M308" s="87">
        <f>K308</f>
        <v>0</v>
      </c>
      <c r="N308" s="88" t="e">
        <f>#REF!</f>
        <v>#REF!</v>
      </c>
      <c r="O308" s="135"/>
      <c r="P308" s="87" t="e">
        <f>K308-N308</f>
        <v>#REF!</v>
      </c>
    </row>
    <row r="309" spans="1:16" s="56" customFormat="1" ht="15.75" hidden="1" customHeight="1" x14ac:dyDescent="0.25">
      <c r="A309" s="41"/>
      <c r="B309" s="96" t="s">
        <v>34</v>
      </c>
      <c r="C309" s="642"/>
      <c r="D309" s="222"/>
      <c r="E309" s="50"/>
      <c r="F309" s="46"/>
      <c r="G309" s="47"/>
      <c r="H309" s="258"/>
      <c r="I309" s="49"/>
      <c r="J309" s="259"/>
      <c r="K309" s="51"/>
      <c r="L309" s="221"/>
      <c r="M309" s="222"/>
      <c r="N309" s="222"/>
      <c r="O309" s="221"/>
      <c r="P309" s="222"/>
    </row>
    <row r="310" spans="1:16" s="121" customFormat="1" ht="28.5" hidden="1" customHeight="1" x14ac:dyDescent="0.25">
      <c r="A310" s="116"/>
      <c r="B310" s="117"/>
      <c r="C310" s="654"/>
      <c r="D310" s="73"/>
      <c r="E310" s="254"/>
      <c r="F310" s="82"/>
      <c r="G310" s="83"/>
      <c r="H310" s="134"/>
      <c r="I310" s="118"/>
      <c r="J310" s="119"/>
      <c r="K310" s="120"/>
      <c r="L310" s="135"/>
      <c r="M310" s="87">
        <f>K310</f>
        <v>0</v>
      </c>
      <c r="N310" s="181" t="e">
        <f>#REF!</f>
        <v>#REF!</v>
      </c>
      <c r="O310" s="135"/>
      <c r="P310" s="87" t="e">
        <f>K310-N310</f>
        <v>#REF!</v>
      </c>
    </row>
    <row r="311" spans="1:16" s="56" customFormat="1" ht="15" hidden="1" x14ac:dyDescent="0.25">
      <c r="A311" s="41"/>
      <c r="B311" s="96" t="s">
        <v>33</v>
      </c>
      <c r="C311" s="642"/>
      <c r="D311" s="44"/>
      <c r="E311" s="45"/>
      <c r="F311" s="46"/>
      <c r="G311" s="47"/>
      <c r="H311" s="48"/>
      <c r="I311" s="49"/>
      <c r="J311" s="50"/>
      <c r="K311" s="51"/>
      <c r="L311" s="53"/>
      <c r="M311" s="54"/>
      <c r="N311" s="55"/>
      <c r="O311" s="53"/>
      <c r="P311" s="54"/>
    </row>
    <row r="312" spans="1:16" s="121" customFormat="1" ht="13.2" hidden="1" x14ac:dyDescent="0.25">
      <c r="A312" s="116"/>
      <c r="B312" s="117"/>
      <c r="C312" s="655"/>
      <c r="D312" s="73"/>
      <c r="E312" s="254"/>
      <c r="F312" s="170"/>
      <c r="G312" s="172"/>
      <c r="H312" s="260"/>
      <c r="I312" s="75"/>
      <c r="J312" s="76"/>
      <c r="K312" s="261"/>
      <c r="L312" s="91"/>
      <c r="M312" s="87">
        <f>K312</f>
        <v>0</v>
      </c>
      <c r="N312" s="88"/>
      <c r="O312" s="91"/>
      <c r="P312" s="87">
        <f>K312-N312</f>
        <v>0</v>
      </c>
    </row>
    <row r="313" spans="1:16" s="180" customFormat="1" ht="15.75" hidden="1" customHeight="1" x14ac:dyDescent="0.25">
      <c r="A313" s="262"/>
      <c r="B313" s="263"/>
      <c r="C313" s="656"/>
      <c r="D313" s="123"/>
      <c r="E313" s="265"/>
      <c r="F313" s="138"/>
      <c r="G313" s="165"/>
      <c r="H313" s="166"/>
      <c r="I313" s="109"/>
      <c r="J313" s="125"/>
      <c r="K313" s="266"/>
      <c r="L313" s="127"/>
      <c r="M313" s="128">
        <f>K313</f>
        <v>0</v>
      </c>
      <c r="N313" s="179" t="e">
        <f>#REF!</f>
        <v>#REF!</v>
      </c>
      <c r="O313" s="127"/>
      <c r="P313" s="128" t="e">
        <f>K313-N313</f>
        <v>#REF!</v>
      </c>
    </row>
    <row r="314" spans="1:16" s="56" customFormat="1" ht="15" hidden="1" x14ac:dyDescent="0.25">
      <c r="A314" s="41"/>
      <c r="B314" s="96" t="s">
        <v>5</v>
      </c>
      <c r="C314" s="642"/>
      <c r="D314" s="44"/>
      <c r="E314" s="45"/>
      <c r="F314" s="46"/>
      <c r="G314" s="47"/>
      <c r="H314" s="48"/>
      <c r="I314" s="49"/>
      <c r="J314" s="50"/>
      <c r="K314" s="51"/>
      <c r="L314" s="53"/>
      <c r="M314" s="54"/>
      <c r="N314" s="55"/>
      <c r="O314" s="53"/>
      <c r="P314" s="54"/>
    </row>
    <row r="315" spans="1:16" s="131" customFormat="1" ht="13.2" hidden="1" x14ac:dyDescent="0.25">
      <c r="A315" s="267"/>
      <c r="B315" s="268"/>
      <c r="C315" s="657"/>
      <c r="D315" s="270"/>
      <c r="E315" s="271"/>
      <c r="F315" s="138"/>
      <c r="G315" s="165"/>
      <c r="H315" s="124"/>
      <c r="I315" s="272"/>
      <c r="J315" s="273"/>
      <c r="K315" s="274"/>
      <c r="L315" s="127"/>
      <c r="M315" s="128">
        <f>K315</f>
        <v>0</v>
      </c>
      <c r="N315" s="179"/>
      <c r="O315" s="127"/>
      <c r="P315" s="128">
        <f>K315-N315</f>
        <v>0</v>
      </c>
    </row>
    <row r="316" spans="1:16" s="9" customFormat="1" ht="15.75" hidden="1" customHeight="1" x14ac:dyDescent="0.25">
      <c r="A316" s="255"/>
      <c r="B316" s="256"/>
      <c r="C316" s="647"/>
      <c r="D316" s="426"/>
      <c r="E316" s="92"/>
      <c r="F316" s="93"/>
      <c r="G316" s="257"/>
      <c r="H316" s="114"/>
      <c r="I316" s="95"/>
      <c r="J316" s="207"/>
      <c r="K316" s="372"/>
      <c r="L316" s="135"/>
      <c r="M316" s="87">
        <f>K316</f>
        <v>0</v>
      </c>
      <c r="N316" s="88" t="e">
        <f>#REF!</f>
        <v>#REF!</v>
      </c>
      <c r="O316" s="135"/>
      <c r="P316" s="87" t="e">
        <f>K316-N316</f>
        <v>#REF!</v>
      </c>
    </row>
    <row r="317" spans="1:16" s="56" customFormat="1" ht="15.75" hidden="1" customHeight="1" x14ac:dyDescent="0.25">
      <c r="A317" s="41"/>
      <c r="B317" s="42" t="s">
        <v>19</v>
      </c>
      <c r="C317" s="639"/>
      <c r="D317" s="44"/>
      <c r="E317" s="45"/>
      <c r="F317" s="46"/>
      <c r="G317" s="47"/>
      <c r="H317" s="48"/>
      <c r="I317" s="49"/>
      <c r="J317" s="50"/>
      <c r="K317" s="51"/>
      <c r="L317" s="53"/>
      <c r="M317" s="54"/>
      <c r="N317" s="55"/>
      <c r="O317" s="53"/>
      <c r="P317" s="54"/>
    </row>
    <row r="318" spans="1:16" s="121" customFormat="1" ht="41.25" hidden="1" customHeight="1" x14ac:dyDescent="0.25">
      <c r="A318" s="78"/>
      <c r="B318" s="79"/>
      <c r="C318" s="658"/>
      <c r="D318" s="80"/>
      <c r="E318" s="81"/>
      <c r="F318" s="82"/>
      <c r="G318" s="83"/>
      <c r="H318" s="134"/>
      <c r="I318" s="84"/>
      <c r="J318" s="85"/>
      <c r="K318" s="86"/>
      <c r="L318" s="135"/>
      <c r="M318" s="87">
        <f t="shared" ref="M318:M338" si="72">K318</f>
        <v>0</v>
      </c>
      <c r="N318" s="160" t="e">
        <f>#REF!</f>
        <v>#REF!</v>
      </c>
      <c r="O318" s="135"/>
      <c r="P318" s="87" t="e">
        <f t="shared" ref="P318:P341" si="73">K318-N318</f>
        <v>#REF!</v>
      </c>
    </row>
    <row r="319" spans="1:16" s="121" customFormat="1" ht="29.25" hidden="1" customHeight="1" x14ac:dyDescent="0.25">
      <c r="A319" s="78"/>
      <c r="B319" s="79"/>
      <c r="C319" s="658"/>
      <c r="D319" s="80"/>
      <c r="E319" s="81"/>
      <c r="F319" s="82"/>
      <c r="G319" s="83"/>
      <c r="H319" s="134"/>
      <c r="I319" s="174"/>
      <c r="J319" s="85"/>
      <c r="K319" s="86"/>
      <c r="L319" s="135"/>
      <c r="M319" s="87">
        <f t="shared" si="72"/>
        <v>0</v>
      </c>
      <c r="N319" s="88" t="e">
        <f>#REF!</f>
        <v>#REF!</v>
      </c>
      <c r="O319" s="135"/>
      <c r="P319" s="87" t="e">
        <f t="shared" si="73"/>
        <v>#REF!</v>
      </c>
    </row>
    <row r="320" spans="1:16" s="9" customFormat="1" ht="13.2" hidden="1" x14ac:dyDescent="0.25">
      <c r="A320" s="78"/>
      <c r="B320" s="79"/>
      <c r="D320" s="80"/>
      <c r="E320" s="81"/>
      <c r="F320" s="82"/>
      <c r="G320" s="83"/>
      <c r="H320" s="114"/>
      <c r="I320" s="84"/>
      <c r="J320" s="85"/>
      <c r="K320" s="86"/>
      <c r="L320" s="115"/>
      <c r="M320" s="87">
        <f t="shared" si="72"/>
        <v>0</v>
      </c>
      <c r="N320" s="88" t="e">
        <f>#REF!</f>
        <v>#REF!</v>
      </c>
      <c r="O320" s="115"/>
      <c r="P320" s="87" t="e">
        <f t="shared" si="73"/>
        <v>#REF!</v>
      </c>
    </row>
    <row r="321" spans="1:16" s="180" customFormat="1" ht="13.2" hidden="1" x14ac:dyDescent="0.25">
      <c r="A321" s="122"/>
      <c r="B321" s="176"/>
      <c r="C321" s="276"/>
      <c r="D321" s="177"/>
      <c r="E321" s="178"/>
      <c r="F321" s="138"/>
      <c r="G321" s="165"/>
      <c r="H321" s="166"/>
      <c r="I321" s="167"/>
      <c r="J321" s="168"/>
      <c r="K321" s="126"/>
      <c r="L321" s="169"/>
      <c r="M321" s="128">
        <f t="shared" si="72"/>
        <v>0</v>
      </c>
      <c r="N321" s="179" t="e">
        <f>#REF!</f>
        <v>#REF!</v>
      </c>
      <c r="O321" s="169"/>
      <c r="P321" s="128" t="e">
        <f t="shared" si="73"/>
        <v>#REF!</v>
      </c>
    </row>
    <row r="322" spans="1:16" s="180" customFormat="1" ht="36.9" hidden="1" customHeight="1" x14ac:dyDescent="0.25">
      <c r="A322" s="122"/>
      <c r="B322" s="176"/>
      <c r="C322" s="276"/>
      <c r="D322" s="177"/>
      <c r="E322" s="178"/>
      <c r="F322" s="138"/>
      <c r="G322" s="165"/>
      <c r="H322" s="166"/>
      <c r="I322" s="167"/>
      <c r="J322" s="168"/>
      <c r="K322" s="126"/>
      <c r="L322" s="169"/>
      <c r="M322" s="128">
        <f t="shared" si="72"/>
        <v>0</v>
      </c>
      <c r="N322" s="179" t="e">
        <f>#REF!</f>
        <v>#REF!</v>
      </c>
      <c r="O322" s="169"/>
      <c r="P322" s="128" t="e">
        <f t="shared" si="73"/>
        <v>#REF!</v>
      </c>
    </row>
    <row r="323" spans="1:16" s="9" customFormat="1" ht="36.9" hidden="1" customHeight="1" x14ac:dyDescent="0.25">
      <c r="A323" s="78"/>
      <c r="B323" s="79"/>
      <c r="C323" s="658"/>
      <c r="D323" s="80"/>
      <c r="E323" s="81"/>
      <c r="F323" s="170"/>
      <c r="G323" s="172"/>
      <c r="H323" s="173"/>
      <c r="I323" s="174"/>
      <c r="J323" s="171"/>
      <c r="K323" s="175"/>
      <c r="L323" s="68"/>
      <c r="M323" s="87">
        <f t="shared" si="72"/>
        <v>0</v>
      </c>
      <c r="N323" s="88" t="e">
        <f>#REF!</f>
        <v>#REF!</v>
      </c>
      <c r="O323" s="68"/>
      <c r="P323" s="87" t="e">
        <f t="shared" si="73"/>
        <v>#REF!</v>
      </c>
    </row>
    <row r="324" spans="1:16" s="9" customFormat="1" ht="36.9" hidden="1" customHeight="1" x14ac:dyDescent="0.25">
      <c r="A324" s="78"/>
      <c r="B324" s="79"/>
      <c r="C324" s="658"/>
      <c r="D324" s="80"/>
      <c r="E324" s="81"/>
      <c r="F324" s="170"/>
      <c r="G324" s="172"/>
      <c r="H324" s="173"/>
      <c r="I324" s="174"/>
      <c r="J324" s="171"/>
      <c r="K324" s="175"/>
      <c r="L324" s="68"/>
      <c r="M324" s="87">
        <f t="shared" si="72"/>
        <v>0</v>
      </c>
      <c r="N324" s="88" t="e">
        <f>#REF!</f>
        <v>#REF!</v>
      </c>
      <c r="O324" s="68"/>
      <c r="P324" s="87" t="e">
        <f t="shared" si="73"/>
        <v>#REF!</v>
      </c>
    </row>
    <row r="325" spans="1:16" s="9" customFormat="1" ht="36.9" hidden="1" customHeight="1" x14ac:dyDescent="0.25">
      <c r="A325" s="78"/>
      <c r="B325" s="79"/>
      <c r="C325" s="658"/>
      <c r="D325" s="80"/>
      <c r="E325" s="81"/>
      <c r="F325" s="82"/>
      <c r="G325" s="83"/>
      <c r="H325" s="114"/>
      <c r="I325" s="84"/>
      <c r="J325" s="85"/>
      <c r="K325" s="86"/>
      <c r="L325" s="115"/>
      <c r="M325" s="87">
        <f t="shared" si="72"/>
        <v>0</v>
      </c>
      <c r="N325" s="160" t="e">
        <f>#REF!</f>
        <v>#REF!</v>
      </c>
      <c r="O325" s="115"/>
      <c r="P325" s="87" t="e">
        <f t="shared" si="73"/>
        <v>#REF!</v>
      </c>
    </row>
    <row r="326" spans="1:16" s="9" customFormat="1" ht="26.25" hidden="1" customHeight="1" x14ac:dyDescent="0.25">
      <c r="A326" s="78"/>
      <c r="B326" s="79"/>
      <c r="C326" s="658"/>
      <c r="D326" s="80"/>
      <c r="E326" s="81"/>
      <c r="F326" s="82"/>
      <c r="G326" s="83"/>
      <c r="H326" s="114"/>
      <c r="I326" s="84"/>
      <c r="J326" s="85"/>
      <c r="K326" s="86"/>
      <c r="L326" s="115"/>
      <c r="M326" s="87">
        <f t="shared" si="72"/>
        <v>0</v>
      </c>
      <c r="N326" s="88" t="e">
        <f>#REF!</f>
        <v>#REF!</v>
      </c>
      <c r="O326" s="68"/>
      <c r="P326" s="87" t="e">
        <f t="shared" si="73"/>
        <v>#REF!</v>
      </c>
    </row>
    <row r="327" spans="1:16" s="180" customFormat="1" ht="26.25" hidden="1" customHeight="1" x14ac:dyDescent="0.25">
      <c r="A327" s="122"/>
      <c r="B327" s="176"/>
      <c r="C327" s="659"/>
      <c r="D327" s="177"/>
      <c r="E327" s="178"/>
      <c r="F327" s="138"/>
      <c r="G327" s="165"/>
      <c r="H327" s="166"/>
      <c r="I327" s="84"/>
      <c r="J327" s="85"/>
      <c r="K327" s="86"/>
      <c r="L327" s="169"/>
      <c r="M327" s="128">
        <f t="shared" si="72"/>
        <v>0</v>
      </c>
      <c r="N327" s="160" t="e">
        <f>#REF!</f>
        <v>#REF!</v>
      </c>
      <c r="O327" s="169"/>
      <c r="P327" s="128" t="e">
        <f t="shared" si="73"/>
        <v>#REF!</v>
      </c>
    </row>
    <row r="328" spans="1:16" s="180" customFormat="1" ht="26.25" hidden="1" customHeight="1" x14ac:dyDescent="0.25">
      <c r="A328" s="122"/>
      <c r="B328" s="176"/>
      <c r="C328" s="276"/>
      <c r="D328" s="177"/>
      <c r="E328" s="178"/>
      <c r="F328" s="138"/>
      <c r="G328" s="165"/>
      <c r="H328" s="166"/>
      <c r="I328" s="84"/>
      <c r="J328" s="85"/>
      <c r="K328" s="86"/>
      <c r="L328" s="169"/>
      <c r="M328" s="128">
        <f t="shared" si="72"/>
        <v>0</v>
      </c>
      <c r="N328" s="160" t="e">
        <f>#REF!</f>
        <v>#REF!</v>
      </c>
      <c r="O328" s="169"/>
      <c r="P328" s="128" t="e">
        <f t="shared" si="73"/>
        <v>#REF!</v>
      </c>
    </row>
    <row r="329" spans="1:16" s="9" customFormat="1" ht="26.25" hidden="1" customHeight="1" x14ac:dyDescent="0.25">
      <c r="A329" s="78"/>
      <c r="B329" s="79"/>
      <c r="C329" s="647"/>
      <c r="D329" s="80"/>
      <c r="E329" s="81"/>
      <c r="F329" s="82"/>
      <c r="G329" s="83"/>
      <c r="H329" s="114"/>
      <c r="I329" s="84"/>
      <c r="J329" s="85"/>
      <c r="K329" s="86"/>
      <c r="L329" s="115"/>
      <c r="M329" s="87">
        <f t="shared" si="72"/>
        <v>0</v>
      </c>
      <c r="N329" s="181" t="e">
        <f>#REF!</f>
        <v>#REF!</v>
      </c>
      <c r="O329" s="68"/>
      <c r="P329" s="87" t="e">
        <f t="shared" si="73"/>
        <v>#REF!</v>
      </c>
    </row>
    <row r="330" spans="1:16" s="180" customFormat="1" ht="26.25" hidden="1" customHeight="1" x14ac:dyDescent="0.25">
      <c r="A330" s="122"/>
      <c r="B330" s="176"/>
      <c r="C330" s="276"/>
      <c r="D330" s="177"/>
      <c r="E330" s="178"/>
      <c r="F330" s="138"/>
      <c r="G330" s="165"/>
      <c r="H330" s="166"/>
      <c r="I330" s="167"/>
      <c r="J330" s="168"/>
      <c r="K330" s="126"/>
      <c r="L330" s="169"/>
      <c r="M330" s="128">
        <f t="shared" si="72"/>
        <v>0</v>
      </c>
      <c r="N330" s="179" t="e">
        <f>#REF!</f>
        <v>#REF!</v>
      </c>
      <c r="O330" s="169"/>
      <c r="P330" s="128" t="e">
        <f t="shared" si="73"/>
        <v>#REF!</v>
      </c>
    </row>
    <row r="331" spans="1:16" s="9" customFormat="1" ht="26.25" hidden="1" customHeight="1" x14ac:dyDescent="0.25">
      <c r="A331" s="78"/>
      <c r="B331" s="79"/>
      <c r="C331" s="647"/>
      <c r="D331" s="80"/>
      <c r="E331" s="81"/>
      <c r="F331" s="278"/>
      <c r="G331" s="83"/>
      <c r="H331" s="114"/>
      <c r="I331" s="174"/>
      <c r="J331" s="171"/>
      <c r="K331" s="86"/>
      <c r="L331" s="115"/>
      <c r="M331" s="87">
        <f t="shared" si="72"/>
        <v>0</v>
      </c>
      <c r="N331" s="88" t="e">
        <f>#REF!</f>
        <v>#REF!</v>
      </c>
      <c r="O331" s="68"/>
      <c r="P331" s="87" t="e">
        <f t="shared" si="73"/>
        <v>#REF!</v>
      </c>
    </row>
    <row r="332" spans="1:16" s="9" customFormat="1" ht="26.25" hidden="1" customHeight="1" x14ac:dyDescent="0.25">
      <c r="A332" s="78"/>
      <c r="B332" s="79"/>
      <c r="C332" s="647"/>
      <c r="D332" s="80"/>
      <c r="E332" s="81"/>
      <c r="F332" s="278"/>
      <c r="G332" s="83"/>
      <c r="H332" s="114"/>
      <c r="I332" s="174"/>
      <c r="J332" s="279"/>
      <c r="K332" s="86"/>
      <c r="L332" s="115"/>
      <c r="M332" s="87">
        <f t="shared" si="72"/>
        <v>0</v>
      </c>
      <c r="N332" s="88" t="e">
        <f>#REF!</f>
        <v>#REF!</v>
      </c>
      <c r="O332" s="68"/>
      <c r="P332" s="87" t="e">
        <f t="shared" si="73"/>
        <v>#REF!</v>
      </c>
    </row>
    <row r="333" spans="1:16" s="180" customFormat="1" ht="26.25" hidden="1" customHeight="1" x14ac:dyDescent="0.25">
      <c r="A333" s="122"/>
      <c r="B333" s="176"/>
      <c r="C333" s="276"/>
      <c r="D333" s="177"/>
      <c r="E333" s="178"/>
      <c r="F333" s="280"/>
      <c r="G333" s="165"/>
      <c r="H333" s="166"/>
      <c r="I333" s="167"/>
      <c r="J333" s="281"/>
      <c r="K333" s="126"/>
      <c r="L333" s="169"/>
      <c r="M333" s="128">
        <f t="shared" si="72"/>
        <v>0</v>
      </c>
      <c r="N333" s="179" t="e">
        <f>#REF!</f>
        <v>#REF!</v>
      </c>
      <c r="O333" s="169"/>
      <c r="P333" s="128" t="e">
        <f t="shared" si="73"/>
        <v>#REF!</v>
      </c>
    </row>
    <row r="334" spans="1:16" s="9" customFormat="1" ht="43.5" hidden="1" customHeight="1" x14ac:dyDescent="0.25">
      <c r="A334" s="78"/>
      <c r="B334" s="79"/>
      <c r="C334" s="647"/>
      <c r="D334" s="80"/>
      <c r="E334" s="81"/>
      <c r="F334" s="278"/>
      <c r="G334" s="83"/>
      <c r="H334" s="114"/>
      <c r="I334" s="84"/>
      <c r="J334" s="282"/>
      <c r="K334" s="86"/>
      <c r="L334" s="115"/>
      <c r="M334" s="87">
        <f t="shared" si="72"/>
        <v>0</v>
      </c>
      <c r="N334" s="88" t="e">
        <f>#REF!</f>
        <v>#REF!</v>
      </c>
      <c r="O334" s="115"/>
      <c r="P334" s="87" t="e">
        <f t="shared" si="73"/>
        <v>#REF!</v>
      </c>
    </row>
    <row r="335" spans="1:16" s="9" customFormat="1" ht="31.65" hidden="1" customHeight="1" x14ac:dyDescent="0.25">
      <c r="A335" s="78"/>
      <c r="B335" s="79"/>
      <c r="C335" s="647"/>
      <c r="D335" s="80"/>
      <c r="E335" s="81"/>
      <c r="F335" s="278"/>
      <c r="G335" s="83"/>
      <c r="H335" s="114"/>
      <c r="I335" s="174"/>
      <c r="J335" s="279"/>
      <c r="K335" s="86"/>
      <c r="L335" s="115"/>
      <c r="M335" s="87">
        <f t="shared" si="72"/>
        <v>0</v>
      </c>
      <c r="N335" s="88" t="e">
        <f>#REF!</f>
        <v>#REF!</v>
      </c>
      <c r="O335" s="68"/>
      <c r="P335" s="87" t="e">
        <f t="shared" si="73"/>
        <v>#REF!</v>
      </c>
    </row>
    <row r="336" spans="1:16" s="9" customFormat="1" ht="32.25" hidden="1" customHeight="1" x14ac:dyDescent="0.25">
      <c r="A336" s="78"/>
      <c r="B336" s="79"/>
      <c r="C336" s="647"/>
      <c r="D336" s="80"/>
      <c r="E336" s="81"/>
      <c r="F336" s="82"/>
      <c r="G336" s="83"/>
      <c r="H336" s="114"/>
      <c r="I336" s="174"/>
      <c r="J336" s="171"/>
      <c r="K336" s="86"/>
      <c r="L336" s="115"/>
      <c r="M336" s="87">
        <f t="shared" si="72"/>
        <v>0</v>
      </c>
      <c r="N336" s="88" t="e">
        <f>#REF!</f>
        <v>#REF!</v>
      </c>
      <c r="O336" s="68"/>
      <c r="P336" s="87" t="e">
        <f t="shared" si="73"/>
        <v>#REF!</v>
      </c>
    </row>
    <row r="337" spans="1:16" s="9" customFormat="1" ht="26.25" hidden="1" customHeight="1" x14ac:dyDescent="0.25">
      <c r="A337" s="78"/>
      <c r="B337" s="79"/>
      <c r="C337" s="658"/>
      <c r="D337" s="80"/>
      <c r="E337" s="81"/>
      <c r="F337" s="82"/>
      <c r="G337" s="283"/>
      <c r="H337" s="114"/>
      <c r="I337" s="174"/>
      <c r="J337" s="171"/>
      <c r="K337" s="86"/>
      <c r="L337" s="115"/>
      <c r="M337" s="87">
        <f t="shared" si="72"/>
        <v>0</v>
      </c>
      <c r="N337" s="88" t="e">
        <f>#REF!</f>
        <v>#REF!</v>
      </c>
      <c r="O337" s="68"/>
      <c r="P337" s="87" t="e">
        <f t="shared" si="73"/>
        <v>#REF!</v>
      </c>
    </row>
    <row r="338" spans="1:16" s="9" customFormat="1" ht="26.25" hidden="1" customHeight="1" x14ac:dyDescent="0.25">
      <c r="A338" s="78"/>
      <c r="B338" s="79"/>
      <c r="C338" s="647"/>
      <c r="D338" s="80"/>
      <c r="E338" s="81"/>
      <c r="F338" s="82"/>
      <c r="G338" s="80"/>
      <c r="H338" s="114"/>
      <c r="I338" s="174"/>
      <c r="J338" s="171"/>
      <c r="K338" s="86"/>
      <c r="L338" s="115"/>
      <c r="M338" s="87">
        <f t="shared" si="72"/>
        <v>0</v>
      </c>
      <c r="N338" s="88" t="e">
        <f>#REF!</f>
        <v>#REF!</v>
      </c>
      <c r="O338" s="68"/>
      <c r="P338" s="87" t="e">
        <f t="shared" si="73"/>
        <v>#REF!</v>
      </c>
    </row>
    <row r="339" spans="1:16" s="9" customFormat="1" ht="26.25" hidden="1" customHeight="1" x14ac:dyDescent="0.25">
      <c r="A339" s="78"/>
      <c r="B339" s="79"/>
      <c r="C339" s="647"/>
      <c r="D339" s="80"/>
      <c r="E339" s="81"/>
      <c r="F339" s="82"/>
      <c r="G339" s="80"/>
      <c r="H339" s="114"/>
      <c r="I339" s="174"/>
      <c r="J339" s="171"/>
      <c r="K339" s="86"/>
      <c r="L339" s="115"/>
      <c r="M339" s="87"/>
      <c r="N339" s="88" t="e">
        <f>#REF!</f>
        <v>#REF!</v>
      </c>
      <c r="O339" s="68"/>
      <c r="P339" s="87" t="e">
        <f t="shared" si="73"/>
        <v>#REF!</v>
      </c>
    </row>
    <row r="340" spans="1:16" s="9" customFormat="1" ht="26.25" hidden="1" customHeight="1" x14ac:dyDescent="0.25">
      <c r="A340" s="78"/>
      <c r="B340" s="79"/>
      <c r="C340" s="647"/>
      <c r="D340" s="80"/>
      <c r="E340" s="81"/>
      <c r="F340" s="82"/>
      <c r="G340" s="80"/>
      <c r="H340" s="114"/>
      <c r="I340" s="174"/>
      <c r="J340" s="171"/>
      <c r="K340" s="86"/>
      <c r="L340" s="115"/>
      <c r="M340" s="87"/>
      <c r="N340" s="88" t="e">
        <f>#REF!</f>
        <v>#REF!</v>
      </c>
      <c r="O340" s="68"/>
      <c r="P340" s="87" t="e">
        <f t="shared" si="73"/>
        <v>#REF!</v>
      </c>
    </row>
    <row r="341" spans="1:16" s="9" customFormat="1" ht="26.25" hidden="1" customHeight="1" x14ac:dyDescent="0.25">
      <c r="A341" s="78"/>
      <c r="B341" s="79"/>
      <c r="C341" s="647"/>
      <c r="D341" s="80"/>
      <c r="E341" s="81"/>
      <c r="F341" s="82"/>
      <c r="G341" s="80"/>
      <c r="H341" s="114"/>
      <c r="I341" s="174"/>
      <c r="J341" s="171"/>
      <c r="K341" s="86"/>
      <c r="L341" s="115"/>
      <c r="M341" s="87"/>
      <c r="N341" s="88" t="e">
        <f>#REF!</f>
        <v>#REF!</v>
      </c>
      <c r="O341" s="68"/>
      <c r="P341" s="87" t="e">
        <f t="shared" si="73"/>
        <v>#REF!</v>
      </c>
    </row>
    <row r="342" spans="1:16" s="56" customFormat="1" ht="26.25" hidden="1" customHeight="1" x14ac:dyDescent="0.25">
      <c r="A342" s="41"/>
      <c r="B342" s="96" t="s">
        <v>37</v>
      </c>
      <c r="C342" s="642"/>
      <c r="D342" s="222"/>
      <c r="E342" s="50"/>
      <c r="F342" s="46"/>
      <c r="G342" s="47"/>
      <c r="H342" s="258"/>
      <c r="I342" s="284"/>
      <c r="J342" s="285"/>
      <c r="K342" s="51"/>
      <c r="L342" s="221"/>
      <c r="M342" s="222"/>
      <c r="N342" s="222"/>
      <c r="O342" s="221"/>
      <c r="P342" s="222"/>
    </row>
    <row r="343" spans="1:16" s="121" customFormat="1" ht="26.25" hidden="1" customHeight="1" x14ac:dyDescent="0.25">
      <c r="A343" s="116"/>
      <c r="B343" s="117"/>
      <c r="C343" s="654"/>
      <c r="D343" s="73"/>
      <c r="E343" s="254"/>
      <c r="F343" s="170"/>
      <c r="G343" s="83"/>
      <c r="H343" s="134"/>
      <c r="I343" s="75"/>
      <c r="J343" s="76"/>
      <c r="K343" s="120"/>
      <c r="L343" s="91"/>
      <c r="M343" s="87">
        <f>K343</f>
        <v>0</v>
      </c>
      <c r="N343" s="88"/>
      <c r="O343" s="91"/>
      <c r="P343" s="87">
        <f>K343-N343</f>
        <v>0</v>
      </c>
    </row>
    <row r="344" spans="1:16" s="296" customFormat="1" ht="26.25" hidden="1" customHeight="1" x14ac:dyDescent="0.25">
      <c r="A344" s="286"/>
      <c r="B344" s="287" t="s">
        <v>39</v>
      </c>
      <c r="C344" s="660"/>
      <c r="D344" s="288"/>
      <c r="E344" s="415"/>
      <c r="F344" s="289"/>
      <c r="G344" s="290"/>
      <c r="H344" s="291"/>
      <c r="I344" s="292"/>
      <c r="J344" s="293"/>
      <c r="K344" s="294"/>
      <c r="L344" s="295"/>
      <c r="M344" s="288"/>
      <c r="N344" s="288"/>
      <c r="O344" s="295"/>
      <c r="P344" s="288"/>
    </row>
    <row r="345" spans="1:16" s="121" customFormat="1" ht="26.25" hidden="1" customHeight="1" x14ac:dyDescent="0.25">
      <c r="A345" s="116"/>
      <c r="B345" s="117"/>
      <c r="C345" s="654"/>
      <c r="D345" s="73"/>
      <c r="E345" s="254"/>
      <c r="F345" s="297"/>
      <c r="G345" s="83"/>
      <c r="H345" s="134"/>
      <c r="I345" s="298"/>
      <c r="J345" s="299"/>
      <c r="K345" s="120"/>
      <c r="L345" s="91"/>
      <c r="M345" s="87">
        <f>K345</f>
        <v>0</v>
      </c>
      <c r="N345" s="88"/>
      <c r="O345" s="91"/>
      <c r="P345" s="87">
        <f>K345-N345</f>
        <v>0</v>
      </c>
    </row>
    <row r="346" spans="1:16" s="56" customFormat="1" ht="15" hidden="1" x14ac:dyDescent="0.25">
      <c r="A346" s="41"/>
      <c r="B346" s="96" t="s">
        <v>38</v>
      </c>
      <c r="C346" s="642"/>
      <c r="D346" s="44"/>
      <c r="E346" s="45"/>
      <c r="F346" s="46"/>
      <c r="G346" s="47"/>
      <c r="H346" s="48"/>
      <c r="I346" s="49"/>
      <c r="J346" s="50"/>
      <c r="K346" s="51"/>
      <c r="L346" s="53"/>
      <c r="M346" s="54"/>
      <c r="N346" s="55"/>
      <c r="O346" s="53"/>
      <c r="P346" s="54"/>
    </row>
    <row r="347" spans="1:16" s="121" customFormat="1" ht="15" hidden="1" x14ac:dyDescent="0.25">
      <c r="A347" s="116"/>
      <c r="B347" s="117"/>
      <c r="C347" s="661"/>
      <c r="D347" s="73"/>
      <c r="E347" s="81"/>
      <c r="F347" s="170"/>
      <c r="G347" s="172"/>
      <c r="H347" s="260"/>
      <c r="I347" s="301"/>
      <c r="J347" s="302"/>
      <c r="K347" s="303"/>
      <c r="L347" s="304"/>
      <c r="M347" s="87">
        <f>K347</f>
        <v>0</v>
      </c>
      <c r="N347" s="88"/>
      <c r="O347" s="91"/>
      <c r="P347" s="87">
        <f>K347-N347</f>
        <v>0</v>
      </c>
    </row>
    <row r="348" spans="1:16" s="9" customFormat="1" ht="15" hidden="1" x14ac:dyDescent="0.25">
      <c r="A348" s="255"/>
      <c r="B348" s="256"/>
      <c r="C348" s="662"/>
      <c r="D348" s="254"/>
      <c r="E348" s="81"/>
      <c r="F348" s="170"/>
      <c r="G348" s="172"/>
      <c r="H348" s="173"/>
      <c r="I348" s="301"/>
      <c r="J348" s="302"/>
      <c r="K348" s="303"/>
      <c r="L348" s="304"/>
      <c r="M348" s="87">
        <f>K348</f>
        <v>0</v>
      </c>
      <c r="N348" s="88"/>
      <c r="O348" s="91"/>
      <c r="P348" s="87">
        <f>K348-N348</f>
        <v>0</v>
      </c>
    </row>
    <row r="349" spans="1:16" s="9" customFormat="1" ht="13.2" hidden="1" x14ac:dyDescent="0.25">
      <c r="A349" s="255"/>
      <c r="B349" s="256"/>
      <c r="C349" s="663"/>
      <c r="D349" s="254"/>
      <c r="E349" s="74"/>
      <c r="F349" s="170"/>
      <c r="G349" s="172"/>
      <c r="H349" s="173"/>
      <c r="I349" s="301"/>
      <c r="J349" s="302"/>
      <c r="K349" s="303"/>
      <c r="L349" s="306"/>
      <c r="M349" s="87">
        <f>K349</f>
        <v>0</v>
      </c>
      <c r="N349" s="88"/>
      <c r="O349" s="91"/>
      <c r="P349" s="87">
        <f>K349-N349</f>
        <v>0</v>
      </c>
    </row>
    <row r="350" spans="1:16" s="9" customFormat="1" ht="13.2" hidden="1" x14ac:dyDescent="0.25">
      <c r="A350" s="255"/>
      <c r="B350" s="256"/>
      <c r="C350" s="663"/>
      <c r="D350" s="254"/>
      <c r="E350" s="74"/>
      <c r="F350" s="170"/>
      <c r="G350" s="172"/>
      <c r="H350" s="173"/>
      <c r="I350" s="301"/>
      <c r="J350" s="302"/>
      <c r="K350" s="303"/>
      <c r="L350" s="307"/>
      <c r="M350" s="87">
        <f>K350</f>
        <v>0</v>
      </c>
      <c r="N350" s="88"/>
      <c r="O350" s="91"/>
      <c r="P350" s="87">
        <f>K350-N350</f>
        <v>0</v>
      </c>
    </row>
    <row r="351" spans="1:16" s="180" customFormat="1" ht="27.9" hidden="1" customHeight="1" x14ac:dyDescent="0.25">
      <c r="A351" s="262"/>
      <c r="B351" s="263"/>
      <c r="C351" s="656"/>
      <c r="D351" s="308"/>
      <c r="E351" s="309"/>
      <c r="F351" s="310"/>
      <c r="G351" s="311"/>
      <c r="H351" s="166"/>
      <c r="I351" s="301"/>
      <c r="J351" s="302"/>
      <c r="K351" s="303"/>
      <c r="L351" s="169"/>
      <c r="M351" s="312">
        <f>K351</f>
        <v>0</v>
      </c>
      <c r="N351" s="313"/>
      <c r="O351" s="304"/>
      <c r="P351" s="312">
        <f>K351-N351</f>
        <v>0</v>
      </c>
    </row>
    <row r="352" spans="1:16" s="154" customFormat="1" ht="22.65" hidden="1" customHeight="1" collapsed="1" x14ac:dyDescent="0.25">
      <c r="A352" s="143" t="s">
        <v>3</v>
      </c>
      <c r="B352" s="144"/>
      <c r="C352" s="150"/>
      <c r="D352" s="146"/>
      <c r="E352" s="146"/>
      <c r="F352" s="147"/>
      <c r="G352" s="147"/>
      <c r="H352" s="148"/>
      <c r="I352" s="149"/>
      <c r="J352" s="184"/>
      <c r="K352" s="150"/>
      <c r="L352" s="152"/>
      <c r="M352" s="153"/>
      <c r="N352" s="153"/>
      <c r="O352" s="152"/>
      <c r="P352" s="153"/>
    </row>
    <row r="353" spans="1:18" s="40" customFormat="1" ht="23.25" hidden="1" customHeight="1" x14ac:dyDescent="0.3">
      <c r="A353" s="35" t="s">
        <v>11</v>
      </c>
      <c r="B353" s="36"/>
      <c r="C353" s="638"/>
      <c r="D353" s="38"/>
      <c r="E353" s="38"/>
      <c r="F353" s="39"/>
      <c r="G353" s="39"/>
      <c r="H353" s="155"/>
      <c r="J353" s="156"/>
      <c r="K353" s="157"/>
      <c r="L353" s="155"/>
      <c r="M353" s="158"/>
      <c r="N353" s="158"/>
      <c r="O353" s="155"/>
      <c r="P353" s="158"/>
    </row>
    <row r="354" spans="1:18" s="9" customFormat="1" ht="16.5" hidden="1" customHeight="1" x14ac:dyDescent="0.25">
      <c r="A354" s="97"/>
      <c r="B354" s="96"/>
      <c r="C354" s="642"/>
      <c r="D354" s="98"/>
      <c r="E354" s="99"/>
      <c r="F354" s="100"/>
      <c r="G354" s="101"/>
      <c r="H354" s="102"/>
      <c r="I354" s="103"/>
      <c r="J354" s="105"/>
      <c r="K354" s="106"/>
      <c r="L354" s="53"/>
      <c r="M354" s="54"/>
      <c r="N354" s="55"/>
      <c r="O354" s="53"/>
      <c r="P354" s="54"/>
    </row>
    <row r="355" spans="1:18" s="121" customFormat="1" ht="30.75" hidden="1" customHeight="1" x14ac:dyDescent="0.25">
      <c r="A355" s="78"/>
      <c r="B355" s="79"/>
      <c r="C355" s="664"/>
      <c r="D355" s="60"/>
      <c r="E355" s="107"/>
      <c r="F355" s="82"/>
      <c r="G355" s="83"/>
      <c r="H355" s="134"/>
      <c r="I355" s="84"/>
      <c r="J355" s="85"/>
      <c r="K355" s="86"/>
      <c r="L355" s="135"/>
      <c r="M355" s="87">
        <f>K355</f>
        <v>0</v>
      </c>
      <c r="N355" s="88" t="e">
        <f>#REF!</f>
        <v>#REF!</v>
      </c>
      <c r="O355" s="135"/>
      <c r="P355" s="87" t="e">
        <f>K355-N355</f>
        <v>#REF!</v>
      </c>
    </row>
    <row r="356" spans="1:18" s="154" customFormat="1" ht="22.65" hidden="1" customHeight="1" x14ac:dyDescent="0.25">
      <c r="A356" s="143" t="s">
        <v>21</v>
      </c>
      <c r="B356" s="144"/>
      <c r="C356" s="150"/>
      <c r="D356" s="146"/>
      <c r="E356" s="146"/>
      <c r="F356" s="147"/>
      <c r="G356" s="147"/>
      <c r="H356" s="148"/>
      <c r="I356" s="149"/>
      <c r="J356" s="184"/>
      <c r="K356" s="150"/>
      <c r="L356" s="152"/>
      <c r="M356" s="153"/>
      <c r="N356" s="151"/>
      <c r="O356" s="152"/>
      <c r="P356" s="153"/>
    </row>
    <row r="357" spans="1:18" s="195" customFormat="1" ht="21" hidden="1" customHeight="1" x14ac:dyDescent="0.25">
      <c r="A357" s="185" t="s">
        <v>24</v>
      </c>
      <c r="B357" s="186"/>
      <c r="C357" s="192"/>
      <c r="D357" s="188"/>
      <c r="E357" s="188"/>
      <c r="F357" s="189"/>
      <c r="G357" s="189"/>
      <c r="H357" s="190"/>
      <c r="I357" s="191"/>
      <c r="J357" s="186"/>
      <c r="K357" s="192"/>
      <c r="L357" s="194"/>
      <c r="M357" s="192"/>
      <c r="N357" s="193"/>
      <c r="O357" s="194"/>
      <c r="P357" s="192"/>
    </row>
    <row r="358" spans="1:18" s="195" customFormat="1" ht="27.9" hidden="1" customHeight="1" x14ac:dyDescent="0.25">
      <c r="A358" s="314" t="s">
        <v>25</v>
      </c>
      <c r="B358" s="315"/>
      <c r="C358" s="321"/>
      <c r="D358" s="317"/>
      <c r="E358" s="317"/>
      <c r="F358" s="318"/>
      <c r="G358" s="318"/>
      <c r="H358" s="319"/>
      <c r="I358" s="320"/>
      <c r="J358" s="315"/>
      <c r="K358" s="321"/>
      <c r="L358" s="194"/>
      <c r="M358" s="322">
        <f t="shared" ref="M358:N358" si="74">M357+M283</f>
        <v>1974</v>
      </c>
      <c r="N358" s="322">
        <f t="shared" si="74"/>
        <v>164</v>
      </c>
      <c r="O358" s="194"/>
      <c r="P358" s="322">
        <f>P357+P283</f>
        <v>1790</v>
      </c>
    </row>
    <row r="359" spans="1:18" s="327" customFormat="1" ht="13.2" hidden="1" x14ac:dyDescent="0.25">
      <c r="A359" s="323"/>
      <c r="B359" s="323"/>
      <c r="C359" s="665"/>
      <c r="D359" s="325"/>
      <c r="E359" s="416"/>
      <c r="F359" s="325"/>
      <c r="G359" s="325"/>
      <c r="H359" s="326"/>
      <c r="J359" s="323"/>
      <c r="K359" s="323"/>
      <c r="L359" s="326"/>
      <c r="M359" s="323"/>
      <c r="N359" s="323"/>
      <c r="O359" s="326"/>
      <c r="P359" s="323"/>
    </row>
    <row r="360" spans="1:18" ht="22.65" hidden="1" customHeight="1" x14ac:dyDescent="0.25"/>
    <row r="361" spans="1:18" ht="22.65" hidden="1" customHeight="1" x14ac:dyDescent="0.25"/>
    <row r="363" spans="1:18" s="9" customFormat="1" ht="22.65" customHeight="1" x14ac:dyDescent="0.25">
      <c r="A363" s="2"/>
      <c r="B363" s="2"/>
      <c r="C363" s="8"/>
      <c r="D363" s="4"/>
      <c r="E363" s="4"/>
      <c r="F363" s="5"/>
      <c r="G363" s="5"/>
      <c r="H363" s="6"/>
      <c r="I363" s="7"/>
      <c r="J363" s="2"/>
      <c r="K363" s="8"/>
      <c r="L363" s="6"/>
      <c r="M363" s="8"/>
      <c r="N363" s="8"/>
      <c r="O363" s="6"/>
      <c r="P363" s="8"/>
      <c r="Q363" s="10"/>
    </row>
    <row r="364" spans="1:18" ht="22.65" customHeight="1" x14ac:dyDescent="0.25">
      <c r="R364" s="483" t="s">
        <v>93</v>
      </c>
    </row>
  </sheetData>
  <dataConsolidate/>
  <mergeCells count="38">
    <mergeCell ref="I61:K61"/>
    <mergeCell ref="C64:C67"/>
    <mergeCell ref="A7:L7"/>
    <mergeCell ref="M7:O8"/>
    <mergeCell ref="P7:P9"/>
    <mergeCell ref="A8:D9"/>
    <mergeCell ref="E8:E10"/>
    <mergeCell ref="I8:K8"/>
    <mergeCell ref="C23:C26"/>
    <mergeCell ref="C48:C49"/>
    <mergeCell ref="C34:C35"/>
    <mergeCell ref="C76:C77"/>
    <mergeCell ref="C82:C87"/>
    <mergeCell ref="C89:C91"/>
    <mergeCell ref="C93:C94"/>
    <mergeCell ref="C32:C33"/>
    <mergeCell ref="C46:C47"/>
    <mergeCell ref="C51:C60"/>
    <mergeCell ref="I205:K205"/>
    <mergeCell ref="C211:C214"/>
    <mergeCell ref="C215:C216"/>
    <mergeCell ref="C137:C138"/>
    <mergeCell ref="C140:C150"/>
    <mergeCell ref="C152:C154"/>
    <mergeCell ref="C155:C157"/>
    <mergeCell ref="D155:D157"/>
    <mergeCell ref="C221:C223"/>
    <mergeCell ref="B238:C238"/>
    <mergeCell ref="C241:C260"/>
    <mergeCell ref="C287:C288"/>
    <mergeCell ref="C104:C105"/>
    <mergeCell ref="C162:C164"/>
    <mergeCell ref="C167:C168"/>
    <mergeCell ref="C185:C186"/>
    <mergeCell ref="C106:C110"/>
    <mergeCell ref="C126:C127"/>
    <mergeCell ref="C128:C129"/>
    <mergeCell ref="C131:C133"/>
  </mergeCells>
  <printOptions horizontalCentered="1"/>
  <pageMargins left="0.25" right="0.25" top="0.75" bottom="0.75" header="0.3" footer="0.3"/>
  <pageSetup paperSize="9" scale="81" fitToHeight="0" orientation="landscape" r:id="rId1"/>
  <headerFooter>
    <oddHeader xml:space="preserve">&amp;R  </oddHead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61"/>
  <sheetViews>
    <sheetView view="pageBreakPreview" topLeftCell="A4" zoomScale="95" zoomScaleNormal="80" zoomScaleSheetLayoutView="95" workbookViewId="0">
      <pane xSplit="2" ySplit="7" topLeftCell="C43" activePane="bottomRight" state="frozen"/>
      <selection activeCell="A4" sqref="A4"/>
      <selection pane="topRight" activeCell="C4" sqref="C4"/>
      <selection pane="bottomLeft" activeCell="A13" sqref="A13"/>
      <selection pane="bottomRight" activeCell="N44" sqref="N44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8" customWidth="1"/>
    <col min="4" max="4" width="12.44140625" style="4" customWidth="1"/>
    <col min="5" max="5" width="14.109375" style="4" customWidth="1"/>
    <col min="6" max="6" width="14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7" ht="13.2" x14ac:dyDescent="0.25">
      <c r="M1" s="9"/>
      <c r="N1" s="9"/>
      <c r="P1" s="9"/>
    </row>
    <row r="2" spans="1:17" ht="13.2" x14ac:dyDescent="0.25">
      <c r="M2" s="9"/>
      <c r="N2" s="9"/>
      <c r="P2" s="9"/>
    </row>
    <row r="3" spans="1:17" ht="13.2" x14ac:dyDescent="0.25">
      <c r="M3" s="9"/>
      <c r="N3" s="9"/>
      <c r="P3" s="9"/>
    </row>
    <row r="4" spans="1:17" s="17" customFormat="1" ht="29.25" customHeight="1" x14ac:dyDescent="0.4">
      <c r="A4" s="11"/>
      <c r="B4" s="11"/>
      <c r="C4" s="635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7" s="24" customFormat="1" ht="20.25" customHeight="1" x14ac:dyDescent="0.35">
      <c r="A5" s="18"/>
      <c r="B5" s="18"/>
      <c r="C5" s="636"/>
      <c r="D5" s="20"/>
      <c r="E5" s="412"/>
      <c r="F5" s="21"/>
      <c r="G5" s="21"/>
      <c r="H5" s="22"/>
      <c r="I5" s="23" t="s">
        <v>891</v>
      </c>
      <c r="J5" s="23"/>
      <c r="K5" s="23"/>
      <c r="L5" s="22"/>
      <c r="M5" s="23"/>
      <c r="N5" s="23"/>
      <c r="O5" s="22"/>
      <c r="P5" s="23"/>
    </row>
    <row r="6" spans="1:17" s="9" customFormat="1" ht="12" customHeight="1" x14ac:dyDescent="0.25">
      <c r="A6" s="8"/>
      <c r="B6" s="8"/>
      <c r="C6" s="637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7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7" s="9" customFormat="1" ht="15" x14ac:dyDescent="0.25">
      <c r="A8" s="775" t="s">
        <v>13</v>
      </c>
      <c r="B8" s="775"/>
      <c r="C8" s="775"/>
      <c r="D8" s="776"/>
      <c r="E8" s="779" t="s">
        <v>48</v>
      </c>
      <c r="F8" s="678"/>
      <c r="G8" s="679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7" s="9" customFormat="1" ht="15.75" customHeight="1" x14ac:dyDescent="0.25">
      <c r="A9" s="777"/>
      <c r="B9" s="777"/>
      <c r="C9" s="777"/>
      <c r="D9" s="778"/>
      <c r="E9" s="780"/>
      <c r="F9" s="680"/>
      <c r="G9" s="681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7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686"/>
      <c r="I10" s="31" t="s">
        <v>9</v>
      </c>
      <c r="J10" s="32" t="s">
        <v>0</v>
      </c>
      <c r="K10" s="32" t="s">
        <v>349</v>
      </c>
      <c r="L10" s="687"/>
      <c r="M10" s="33" t="s">
        <v>15</v>
      </c>
      <c r="N10" s="33" t="s">
        <v>15</v>
      </c>
      <c r="O10" s="686"/>
      <c r="P10" s="33" t="s">
        <v>15</v>
      </c>
    </row>
    <row r="11" spans="1:17" s="40" customFormat="1" ht="30" customHeight="1" x14ac:dyDescent="0.3">
      <c r="A11" s="199" t="s">
        <v>6</v>
      </c>
      <c r="B11" s="200"/>
      <c r="C11" s="645"/>
      <c r="D11" s="407"/>
      <c r="E11" s="407"/>
      <c r="F11" s="408"/>
      <c r="G11" s="408"/>
      <c r="H11" s="155"/>
      <c r="J11" s="409"/>
      <c r="K11" s="204"/>
      <c r="L11" s="155"/>
      <c r="M11" s="159"/>
      <c r="N11" s="159"/>
      <c r="O11" s="155"/>
      <c r="P11" s="159"/>
    </row>
    <row r="12" spans="1:17" s="56" customFormat="1" ht="15" x14ac:dyDescent="0.25">
      <c r="A12" s="361"/>
      <c r="B12" s="334" t="s">
        <v>44</v>
      </c>
      <c r="C12" s="639"/>
      <c r="D12" s="44"/>
      <c r="E12" s="45"/>
      <c r="F12" s="569">
        <f>SUM(F13:F19)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7" s="9" customFormat="1" ht="27.9" customHeight="1" x14ac:dyDescent="0.25">
      <c r="A13" s="78"/>
      <c r="B13" s="79"/>
      <c r="C13" s="86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88">
        <v>1</v>
      </c>
      <c r="N13" s="689"/>
      <c r="O13" s="357"/>
      <c r="P13" s="434">
        <f t="shared" ref="P13" si="0">M13-N13</f>
        <v>1</v>
      </c>
      <c r="Q13" s="712">
        <f>M13-P13</f>
        <v>0</v>
      </c>
    </row>
    <row r="14" spans="1:17" s="9" customFormat="1" ht="27.9" customHeight="1" x14ac:dyDescent="0.25">
      <c r="A14" s="78"/>
      <c r="B14" s="79"/>
      <c r="C14" s="86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692">
        <f t="shared" ref="M14:M18" si="1">K14</f>
        <v>1</v>
      </c>
      <c r="N14" s="693"/>
      <c r="O14" s="332"/>
      <c r="P14" s="435">
        <f t="shared" ref="P14:P16" si="2">K14-N14</f>
        <v>1</v>
      </c>
      <c r="Q14" s="712">
        <f t="shared" ref="Q14:Q90" si="3">M14-P14</f>
        <v>0</v>
      </c>
    </row>
    <row r="15" spans="1:17" s="9" customFormat="1" ht="27.9" customHeight="1" x14ac:dyDescent="0.25">
      <c r="A15" s="78"/>
      <c r="B15" s="79"/>
      <c r="C15" s="86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692">
        <f t="shared" si="1"/>
        <v>1</v>
      </c>
      <c r="N15" s="693"/>
      <c r="O15" s="332"/>
      <c r="P15" s="435">
        <f t="shared" si="2"/>
        <v>1</v>
      </c>
      <c r="Q15" s="712">
        <f t="shared" si="3"/>
        <v>0</v>
      </c>
    </row>
    <row r="16" spans="1:17" s="9" customFormat="1" ht="37.5" customHeight="1" x14ac:dyDescent="0.25">
      <c r="A16" s="78"/>
      <c r="B16" s="79"/>
      <c r="C16" s="471" t="s">
        <v>763</v>
      </c>
      <c r="D16" s="350">
        <v>45361</v>
      </c>
      <c r="E16" s="341" t="s">
        <v>50</v>
      </c>
      <c r="F16" s="567"/>
      <c r="G16" s="83">
        <v>45259</v>
      </c>
      <c r="H16" s="429"/>
      <c r="I16" s="468" t="s">
        <v>591</v>
      </c>
      <c r="J16" s="336" t="s">
        <v>592</v>
      </c>
      <c r="K16" s="667">
        <v>2</v>
      </c>
      <c r="L16" s="430"/>
      <c r="M16" s="692">
        <f t="shared" si="1"/>
        <v>2</v>
      </c>
      <c r="N16" s="693"/>
      <c r="O16" s="332"/>
      <c r="P16" s="435">
        <f t="shared" si="2"/>
        <v>2</v>
      </c>
      <c r="Q16" s="712">
        <f t="shared" si="3"/>
        <v>0</v>
      </c>
    </row>
    <row r="17" spans="1:17" s="9" customFormat="1" ht="36.75" customHeight="1" x14ac:dyDescent="0.25">
      <c r="A17" s="78"/>
      <c r="B17" s="79"/>
      <c r="C17" s="547" t="s">
        <v>764</v>
      </c>
      <c r="D17" s="455">
        <v>45285</v>
      </c>
      <c r="E17" s="428" t="s">
        <v>50</v>
      </c>
      <c r="F17" s="456"/>
      <c r="G17" s="83">
        <v>45272</v>
      </c>
      <c r="H17" s="457"/>
      <c r="I17" s="468" t="s">
        <v>652</v>
      </c>
      <c r="J17" s="335" t="s">
        <v>315</v>
      </c>
      <c r="K17" s="668">
        <v>12</v>
      </c>
      <c r="L17" s="584"/>
      <c r="M17" s="87">
        <f t="shared" si="1"/>
        <v>12</v>
      </c>
      <c r="N17" s="695"/>
      <c r="O17" s="438"/>
      <c r="P17" s="137">
        <f t="shared" ref="P17:P19" si="4">M17-N17</f>
        <v>12</v>
      </c>
      <c r="Q17" s="712">
        <f t="shared" si="3"/>
        <v>0</v>
      </c>
    </row>
    <row r="18" spans="1:17" s="9" customFormat="1" ht="36.75" customHeight="1" x14ac:dyDescent="0.25">
      <c r="A18" s="78"/>
      <c r="B18" s="79"/>
      <c r="C18" s="514" t="s">
        <v>880</v>
      </c>
      <c r="D18" s="337">
        <v>45398</v>
      </c>
      <c r="E18" s="428" t="s">
        <v>60</v>
      </c>
      <c r="F18" s="520"/>
      <c r="G18" s="366">
        <v>45379</v>
      </c>
      <c r="H18" s="457"/>
      <c r="I18" s="468" t="s">
        <v>878</v>
      </c>
      <c r="J18" s="335" t="s">
        <v>879</v>
      </c>
      <c r="K18" s="668">
        <v>2</v>
      </c>
      <c r="L18" s="584"/>
      <c r="M18" s="87">
        <f t="shared" si="1"/>
        <v>2</v>
      </c>
      <c r="N18" s="695"/>
      <c r="O18" s="438"/>
      <c r="P18" s="137">
        <f t="shared" si="4"/>
        <v>2</v>
      </c>
      <c r="Q18" s="712"/>
    </row>
    <row r="19" spans="1:17" s="9" customFormat="1" ht="39.75" customHeight="1" x14ac:dyDescent="0.25">
      <c r="A19" s="78"/>
      <c r="B19" s="379"/>
      <c r="C19" s="446"/>
      <c r="D19" s="484" t="s">
        <v>90</v>
      </c>
      <c r="E19" s="428" t="s">
        <v>50</v>
      </c>
      <c r="F19" s="568">
        <v>34885.82</v>
      </c>
      <c r="G19" s="366"/>
      <c r="H19" s="90"/>
      <c r="I19" s="669" t="s">
        <v>72</v>
      </c>
      <c r="J19" s="670" t="s">
        <v>70</v>
      </c>
      <c r="K19" s="671">
        <v>2</v>
      </c>
      <c r="L19" s="666"/>
      <c r="M19" s="690">
        <v>1</v>
      </c>
      <c r="N19" s="691"/>
      <c r="O19" s="666"/>
      <c r="P19" s="137">
        <f t="shared" si="4"/>
        <v>1</v>
      </c>
      <c r="Q19" s="712">
        <f t="shared" si="3"/>
        <v>0</v>
      </c>
    </row>
    <row r="20" spans="1:17" s="1" customFormat="1" ht="16.5" customHeight="1" x14ac:dyDescent="0.25">
      <c r="A20" s="474"/>
      <c r="B20" s="330" t="s">
        <v>821</v>
      </c>
      <c r="C20" s="641"/>
      <c r="D20" s="486"/>
      <c r="E20" s="475"/>
      <c r="F20" s="476"/>
      <c r="G20" s="477"/>
      <c r="H20" s="463"/>
      <c r="I20" s="478"/>
      <c r="J20" s="479"/>
      <c r="K20" s="480"/>
      <c r="L20" s="464"/>
      <c r="M20" s="54"/>
      <c r="N20" s="55"/>
      <c r="O20" s="464"/>
      <c r="P20" s="465"/>
      <c r="Q20" s="712">
        <f t="shared" si="3"/>
        <v>0</v>
      </c>
    </row>
    <row r="21" spans="1:17" s="56" customFormat="1" ht="26.4" x14ac:dyDescent="0.25">
      <c r="A21" s="41"/>
      <c r="B21" s="330"/>
      <c r="C21" s="793" t="s">
        <v>830</v>
      </c>
      <c r="D21" s="351">
        <v>45463</v>
      </c>
      <c r="E21" s="341" t="s">
        <v>60</v>
      </c>
      <c r="F21" s="82"/>
      <c r="G21" s="83">
        <v>45357</v>
      </c>
      <c r="H21" s="48"/>
      <c r="I21" s="468" t="s">
        <v>822</v>
      </c>
      <c r="J21" s="335" t="s">
        <v>823</v>
      </c>
      <c r="K21" s="431">
        <v>64</v>
      </c>
      <c r="L21" s="53"/>
      <c r="M21" s="688">
        <f>K21</f>
        <v>64</v>
      </c>
      <c r="N21" s="689"/>
      <c r="O21" s="357"/>
      <c r="P21" s="434">
        <f t="shared" ref="P21" si="5">M21-N21</f>
        <v>64</v>
      </c>
      <c r="Q21" s="712">
        <f t="shared" si="3"/>
        <v>0</v>
      </c>
    </row>
    <row r="22" spans="1:17" s="56" customFormat="1" ht="26.4" x14ac:dyDescent="0.25">
      <c r="A22" s="41"/>
      <c r="B22" s="330"/>
      <c r="C22" s="788"/>
      <c r="D22" s="351">
        <v>45463</v>
      </c>
      <c r="E22" s="341" t="s">
        <v>60</v>
      </c>
      <c r="F22" s="82"/>
      <c r="G22" s="83">
        <v>45357</v>
      </c>
      <c r="H22" s="48"/>
      <c r="I22" s="468" t="s">
        <v>824</v>
      </c>
      <c r="J22" s="335" t="s">
        <v>825</v>
      </c>
      <c r="K22" s="431">
        <v>64</v>
      </c>
      <c r="L22" s="53"/>
      <c r="M22" s="692">
        <f t="shared" ref="M22:M24" si="6">K22</f>
        <v>64</v>
      </c>
      <c r="N22" s="693"/>
      <c r="O22" s="332"/>
      <c r="P22" s="435">
        <f t="shared" ref="P22:P24" si="7">K22-N22</f>
        <v>64</v>
      </c>
      <c r="Q22" s="712"/>
    </row>
    <row r="23" spans="1:17" s="56" customFormat="1" ht="27" customHeight="1" x14ac:dyDescent="0.25">
      <c r="A23" s="41"/>
      <c r="B23" s="330"/>
      <c r="C23" s="788"/>
      <c r="D23" s="351">
        <v>45463</v>
      </c>
      <c r="E23" s="341" t="s">
        <v>60</v>
      </c>
      <c r="F23" s="82"/>
      <c r="G23" s="83">
        <v>45357</v>
      </c>
      <c r="H23" s="48"/>
      <c r="I23" s="468" t="s">
        <v>826</v>
      </c>
      <c r="J23" s="335" t="s">
        <v>827</v>
      </c>
      <c r="K23" s="431">
        <v>560</v>
      </c>
      <c r="L23" s="53"/>
      <c r="M23" s="692">
        <f t="shared" si="6"/>
        <v>560</v>
      </c>
      <c r="N23" s="693">
        <v>560</v>
      </c>
      <c r="O23" s="332"/>
      <c r="P23" s="435">
        <f t="shared" si="7"/>
        <v>0</v>
      </c>
      <c r="Q23" s="712"/>
    </row>
    <row r="24" spans="1:17" s="56" customFormat="1" ht="27" customHeight="1" x14ac:dyDescent="0.25">
      <c r="A24" s="41"/>
      <c r="B24" s="330"/>
      <c r="C24" s="789"/>
      <c r="D24" s="351">
        <v>45463</v>
      </c>
      <c r="E24" s="341" t="s">
        <v>60</v>
      </c>
      <c r="F24" s="82"/>
      <c r="G24" s="83">
        <v>45357</v>
      </c>
      <c r="H24" s="48"/>
      <c r="I24" s="468" t="s">
        <v>828</v>
      </c>
      <c r="J24" s="335" t="s">
        <v>829</v>
      </c>
      <c r="K24" s="431">
        <v>560</v>
      </c>
      <c r="L24" s="53"/>
      <c r="M24" s="692">
        <f t="shared" si="6"/>
        <v>560</v>
      </c>
      <c r="N24" s="693"/>
      <c r="O24" s="332"/>
      <c r="P24" s="435">
        <f t="shared" si="7"/>
        <v>560</v>
      </c>
      <c r="Q24" s="712"/>
    </row>
    <row r="25" spans="1:17" s="1" customFormat="1" ht="16.5" customHeight="1" x14ac:dyDescent="0.25">
      <c r="A25" s="474"/>
      <c r="B25" s="462" t="s">
        <v>79</v>
      </c>
      <c r="C25" s="641"/>
      <c r="D25" s="486"/>
      <c r="E25" s="475"/>
      <c r="F25" s="476"/>
      <c r="G25" s="477"/>
      <c r="H25" s="463"/>
      <c r="I25" s="478"/>
      <c r="J25" s="479"/>
      <c r="K25" s="480"/>
      <c r="L25" s="464"/>
      <c r="M25" s="54"/>
      <c r="N25" s="55"/>
      <c r="O25" s="464"/>
      <c r="P25" s="465"/>
      <c r="Q25" s="712">
        <f t="shared" si="3"/>
        <v>0</v>
      </c>
    </row>
    <row r="26" spans="1:17" s="9" customFormat="1" ht="41.25" customHeight="1" x14ac:dyDescent="0.25">
      <c r="A26" s="78"/>
      <c r="B26" s="79"/>
      <c r="C26" s="490" t="s">
        <v>220</v>
      </c>
      <c r="D26" s="351">
        <v>45117</v>
      </c>
      <c r="E26" s="341" t="s">
        <v>50</v>
      </c>
      <c r="F26" s="82"/>
      <c r="G26" s="83">
        <v>45000</v>
      </c>
      <c r="H26" s="429"/>
      <c r="I26" s="468" t="s">
        <v>222</v>
      </c>
      <c r="J26" s="335" t="s">
        <v>221</v>
      </c>
      <c r="K26" s="343">
        <v>1</v>
      </c>
      <c r="L26" s="430"/>
      <c r="M26" s="631">
        <f>K26</f>
        <v>1</v>
      </c>
      <c r="N26" s="376"/>
      <c r="O26" s="332"/>
      <c r="P26" s="435">
        <f t="shared" ref="P26" si="8">M26-N26</f>
        <v>1</v>
      </c>
      <c r="Q26" s="712">
        <f t="shared" si="3"/>
        <v>0</v>
      </c>
    </row>
    <row r="27" spans="1:17" s="56" customFormat="1" ht="18" customHeight="1" x14ac:dyDescent="0.25">
      <c r="A27" s="41"/>
      <c r="B27" s="330" t="s">
        <v>846</v>
      </c>
      <c r="C27" s="642"/>
      <c r="D27" s="44"/>
      <c r="E27" s="45"/>
      <c r="F27" s="46"/>
      <c r="G27" s="47"/>
      <c r="H27" s="48"/>
      <c r="I27" s="49"/>
      <c r="J27" s="50"/>
      <c r="K27" s="51"/>
      <c r="L27" s="53"/>
      <c r="M27" s="49"/>
      <c r="N27" s="55"/>
      <c r="O27" s="53"/>
      <c r="P27" s="54"/>
      <c r="Q27" s="712">
        <f t="shared" si="3"/>
        <v>0</v>
      </c>
    </row>
    <row r="28" spans="1:17" s="9" customFormat="1" ht="51" customHeight="1" x14ac:dyDescent="0.25">
      <c r="A28" s="78"/>
      <c r="B28" s="79"/>
      <c r="C28" s="490" t="s">
        <v>847</v>
      </c>
      <c r="D28" s="351">
        <v>45422</v>
      </c>
      <c r="E28" s="341" t="s">
        <v>60</v>
      </c>
      <c r="F28" s="82"/>
      <c r="G28" s="83">
        <v>45362</v>
      </c>
      <c r="H28" s="429"/>
      <c r="I28" s="468" t="s">
        <v>848</v>
      </c>
      <c r="J28" s="335" t="s">
        <v>849</v>
      </c>
      <c r="K28" s="431">
        <v>8</v>
      </c>
      <c r="L28" s="430"/>
      <c r="M28" s="410">
        <f>K28</f>
        <v>8</v>
      </c>
      <c r="N28" s="376"/>
      <c r="O28" s="332"/>
      <c r="P28" s="435">
        <f t="shared" ref="P28" si="9">M28-N28</f>
        <v>8</v>
      </c>
      <c r="Q28" s="712"/>
    </row>
    <row r="29" spans="1:17" s="9" customFormat="1" ht="26.4" x14ac:dyDescent="0.25">
      <c r="A29" s="78"/>
      <c r="B29" s="79"/>
      <c r="C29" s="799" t="s">
        <v>989</v>
      </c>
      <c r="D29" s="351">
        <v>45489</v>
      </c>
      <c r="E29" s="341" t="s">
        <v>60</v>
      </c>
      <c r="F29" s="82"/>
      <c r="G29" s="83">
        <v>45405</v>
      </c>
      <c r="H29" s="429"/>
      <c r="I29" s="468" t="s">
        <v>981</v>
      </c>
      <c r="J29" s="335" t="s">
        <v>982</v>
      </c>
      <c r="K29" s="431">
        <v>6</v>
      </c>
      <c r="L29" s="430"/>
      <c r="M29" s="410">
        <f t="shared" ref="M29:M32" si="10">K29</f>
        <v>6</v>
      </c>
      <c r="N29" s="376"/>
      <c r="O29" s="332"/>
      <c r="P29" s="435">
        <f t="shared" ref="P29:P32" si="11">M29-N29</f>
        <v>6</v>
      </c>
      <c r="Q29" s="712"/>
    </row>
    <row r="30" spans="1:17" s="9" customFormat="1" ht="26.4" x14ac:dyDescent="0.25">
      <c r="A30" s="78"/>
      <c r="B30" s="79"/>
      <c r="C30" s="788"/>
      <c r="D30" s="351">
        <v>45489</v>
      </c>
      <c r="E30" s="341" t="s">
        <v>60</v>
      </c>
      <c r="F30" s="82"/>
      <c r="G30" s="83">
        <v>45405</v>
      </c>
      <c r="H30" s="429"/>
      <c r="I30" s="468" t="s">
        <v>983</v>
      </c>
      <c r="J30" s="335" t="s">
        <v>984</v>
      </c>
      <c r="K30" s="431">
        <v>2</v>
      </c>
      <c r="L30" s="430"/>
      <c r="M30" s="410">
        <f t="shared" si="10"/>
        <v>2</v>
      </c>
      <c r="N30" s="376"/>
      <c r="O30" s="332"/>
      <c r="P30" s="435">
        <f t="shared" si="11"/>
        <v>2</v>
      </c>
      <c r="Q30" s="712"/>
    </row>
    <row r="31" spans="1:17" s="9" customFormat="1" ht="26.4" x14ac:dyDescent="0.25">
      <c r="A31" s="78"/>
      <c r="B31" s="79"/>
      <c r="C31" s="788"/>
      <c r="D31" s="351">
        <v>45489</v>
      </c>
      <c r="E31" s="341" t="s">
        <v>60</v>
      </c>
      <c r="F31" s="82"/>
      <c r="G31" s="83">
        <v>45405</v>
      </c>
      <c r="H31" s="429"/>
      <c r="I31" s="468" t="s">
        <v>985</v>
      </c>
      <c r="J31" s="335" t="s">
        <v>986</v>
      </c>
      <c r="K31" s="431">
        <v>10</v>
      </c>
      <c r="L31" s="430"/>
      <c r="M31" s="410">
        <f t="shared" si="10"/>
        <v>10</v>
      </c>
      <c r="N31" s="376"/>
      <c r="O31" s="332"/>
      <c r="P31" s="435">
        <f t="shared" si="11"/>
        <v>10</v>
      </c>
      <c r="Q31" s="712"/>
    </row>
    <row r="32" spans="1:17" s="9" customFormat="1" ht="52.8" x14ac:dyDescent="0.25">
      <c r="A32" s="78"/>
      <c r="B32" s="79"/>
      <c r="C32" s="789"/>
      <c r="D32" s="351">
        <v>45489</v>
      </c>
      <c r="E32" s="341" t="s">
        <v>60</v>
      </c>
      <c r="F32" s="82"/>
      <c r="G32" s="83">
        <v>45405</v>
      </c>
      <c r="H32" s="429"/>
      <c r="I32" s="468" t="s">
        <v>987</v>
      </c>
      <c r="J32" s="335" t="s">
        <v>988</v>
      </c>
      <c r="K32" s="431">
        <v>6</v>
      </c>
      <c r="L32" s="430"/>
      <c r="M32" s="410">
        <f t="shared" si="10"/>
        <v>6</v>
      </c>
      <c r="N32" s="376"/>
      <c r="O32" s="332"/>
      <c r="P32" s="435">
        <f t="shared" si="11"/>
        <v>6</v>
      </c>
      <c r="Q32" s="712"/>
    </row>
    <row r="33" spans="1:17" s="56" customFormat="1" ht="18.75" customHeight="1" x14ac:dyDescent="0.25">
      <c r="A33" s="41"/>
      <c r="B33" s="330" t="s">
        <v>741</v>
      </c>
      <c r="C33" s="642"/>
      <c r="D33" s="44"/>
      <c r="E33" s="45"/>
      <c r="F33" s="46"/>
      <c r="G33" s="47"/>
      <c r="H33" s="48"/>
      <c r="I33" s="49"/>
      <c r="J33" s="50"/>
      <c r="K33" s="51"/>
      <c r="L33" s="53"/>
      <c r="M33" s="54"/>
      <c r="N33" s="55"/>
      <c r="O33" s="53"/>
      <c r="P33" s="54"/>
      <c r="Q33" s="712">
        <f t="shared" si="3"/>
        <v>0</v>
      </c>
    </row>
    <row r="34" spans="1:17" s="9" customFormat="1" ht="22.5" customHeight="1" x14ac:dyDescent="0.25">
      <c r="A34" s="721"/>
      <c r="B34" s="722"/>
      <c r="C34" s="793" t="s">
        <v>746</v>
      </c>
      <c r="D34" s="351">
        <v>45465</v>
      </c>
      <c r="E34" s="341" t="s">
        <v>50</v>
      </c>
      <c r="F34" s="82"/>
      <c r="G34" s="83">
        <v>45324</v>
      </c>
      <c r="H34" s="429"/>
      <c r="I34" s="468" t="s">
        <v>742</v>
      </c>
      <c r="J34" s="335" t="s">
        <v>743</v>
      </c>
      <c r="K34" s="343">
        <v>3</v>
      </c>
      <c r="L34" s="430"/>
      <c r="M34" s="410">
        <f>K34</f>
        <v>3</v>
      </c>
      <c r="N34" s="376"/>
      <c r="O34" s="332"/>
      <c r="P34" s="435">
        <f t="shared" ref="P34:P37" si="12">M34-N34</f>
        <v>3</v>
      </c>
      <c r="Q34" s="712">
        <f t="shared" si="3"/>
        <v>0</v>
      </c>
    </row>
    <row r="35" spans="1:17" s="9" customFormat="1" ht="26.4" x14ac:dyDescent="0.25">
      <c r="A35" s="89"/>
      <c r="B35" s="379"/>
      <c r="C35" s="794"/>
      <c r="D35" s="351">
        <v>45361</v>
      </c>
      <c r="E35" s="341" t="s">
        <v>50</v>
      </c>
      <c r="F35" s="82"/>
      <c r="G35" s="83">
        <v>45324</v>
      </c>
      <c r="H35" s="429"/>
      <c r="I35" s="468" t="s">
        <v>744</v>
      </c>
      <c r="J35" s="335" t="s">
        <v>745</v>
      </c>
      <c r="K35" s="343">
        <v>1</v>
      </c>
      <c r="L35" s="430"/>
      <c r="M35" s="410">
        <f>K35</f>
        <v>1</v>
      </c>
      <c r="N35" s="376"/>
      <c r="O35" s="332"/>
      <c r="P35" s="435">
        <f t="shared" si="12"/>
        <v>1</v>
      </c>
      <c r="Q35" s="712">
        <f t="shared" si="3"/>
        <v>0</v>
      </c>
    </row>
    <row r="36" spans="1:17" s="56" customFormat="1" ht="27" customHeight="1" x14ac:dyDescent="0.25">
      <c r="A36" s="719"/>
      <c r="B36" s="720"/>
      <c r="C36" s="791" t="s">
        <v>867</v>
      </c>
      <c r="D36" s="351">
        <v>45516</v>
      </c>
      <c r="E36" s="341" t="s">
        <v>50</v>
      </c>
      <c r="F36" s="82"/>
      <c r="G36" s="83">
        <v>45369</v>
      </c>
      <c r="H36" s="48"/>
      <c r="I36" s="468" t="s">
        <v>863</v>
      </c>
      <c r="J36" s="335" t="s">
        <v>864</v>
      </c>
      <c r="K36" s="453">
        <v>1</v>
      </c>
      <c r="L36" s="53"/>
      <c r="M36" s="410">
        <f t="shared" ref="M36:M37" si="13">K36</f>
        <v>1</v>
      </c>
      <c r="N36" s="376"/>
      <c r="O36" s="332"/>
      <c r="P36" s="435">
        <f t="shared" si="12"/>
        <v>1</v>
      </c>
      <c r="Q36" s="712"/>
    </row>
    <row r="37" spans="1:17" s="56" customFormat="1" ht="27" customHeight="1" x14ac:dyDescent="0.25">
      <c r="A37" s="41"/>
      <c r="B37" s="330"/>
      <c r="C37" s="818"/>
      <c r="D37" s="351">
        <v>45516</v>
      </c>
      <c r="E37" s="341" t="s">
        <v>50</v>
      </c>
      <c r="F37" s="82"/>
      <c r="G37" s="83">
        <v>45369</v>
      </c>
      <c r="H37" s="48"/>
      <c r="I37" s="468" t="s">
        <v>865</v>
      </c>
      <c r="J37" s="335" t="s">
        <v>866</v>
      </c>
      <c r="K37" s="453">
        <v>1</v>
      </c>
      <c r="L37" s="53"/>
      <c r="M37" s="410">
        <f t="shared" si="13"/>
        <v>1</v>
      </c>
      <c r="N37" s="376"/>
      <c r="O37" s="332"/>
      <c r="P37" s="435">
        <f t="shared" si="12"/>
        <v>1</v>
      </c>
      <c r="Q37" s="712"/>
    </row>
    <row r="38" spans="1:17" s="9" customFormat="1" ht="16.5" customHeight="1" x14ac:dyDescent="0.25">
      <c r="A38" s="97"/>
      <c r="B38" s="330" t="s">
        <v>45</v>
      </c>
      <c r="C38" s="642"/>
      <c r="D38" s="98"/>
      <c r="E38" s="99"/>
      <c r="F38" s="569">
        <v>1838876.68</v>
      </c>
      <c r="G38" s="101"/>
      <c r="H38" s="102"/>
      <c r="I38" s="103"/>
      <c r="J38" s="105"/>
      <c r="K38" s="106"/>
      <c r="L38" s="53"/>
      <c r="M38" s="54"/>
      <c r="N38" s="55"/>
      <c r="O38" s="53"/>
      <c r="P38" s="54"/>
      <c r="Q38" s="712">
        <f t="shared" si="3"/>
        <v>0</v>
      </c>
    </row>
    <row r="39" spans="1:17" s="121" customFormat="1" ht="39.6" x14ac:dyDescent="0.25">
      <c r="A39" s="78"/>
      <c r="B39" s="132"/>
      <c r="C39" s="472"/>
      <c r="D39" s="426"/>
      <c r="E39" s="337" t="s">
        <v>40</v>
      </c>
      <c r="F39" s="672" t="s">
        <v>765</v>
      </c>
      <c r="G39" s="94"/>
      <c r="H39" s="134"/>
      <c r="I39" s="468" t="s">
        <v>67</v>
      </c>
      <c r="J39" s="336" t="s">
        <v>68</v>
      </c>
      <c r="K39" s="470">
        <v>4</v>
      </c>
      <c r="L39" s="135"/>
      <c r="M39" s="87">
        <f t="shared" ref="M39:M41" si="14">K39</f>
        <v>4</v>
      </c>
      <c r="N39" s="130"/>
      <c r="O39" s="135"/>
      <c r="P39" s="137">
        <f t="shared" ref="P39:P61" si="15">M39-N39</f>
        <v>4</v>
      </c>
      <c r="Q39" s="712">
        <f t="shared" si="3"/>
        <v>0</v>
      </c>
    </row>
    <row r="40" spans="1:17" s="121" customFormat="1" ht="39.75" customHeight="1" x14ac:dyDescent="0.25">
      <c r="A40" s="78"/>
      <c r="B40" s="132"/>
      <c r="C40" s="549" t="s">
        <v>460</v>
      </c>
      <c r="D40" s="426">
        <v>45040</v>
      </c>
      <c r="E40" s="365" t="s">
        <v>50</v>
      </c>
      <c r="F40" s="93"/>
      <c r="G40" s="426">
        <v>44956</v>
      </c>
      <c r="H40" s="134"/>
      <c r="I40" s="468" t="s">
        <v>210</v>
      </c>
      <c r="J40" s="336" t="s">
        <v>150</v>
      </c>
      <c r="K40" s="513">
        <v>2</v>
      </c>
      <c r="L40" s="135"/>
      <c r="M40" s="87">
        <f t="shared" si="14"/>
        <v>2</v>
      </c>
      <c r="N40" s="130"/>
      <c r="O40" s="135"/>
      <c r="P40" s="137">
        <f t="shared" si="15"/>
        <v>2</v>
      </c>
      <c r="Q40" s="712">
        <f t="shared" si="3"/>
        <v>0</v>
      </c>
    </row>
    <row r="41" spans="1:17" s="121" customFormat="1" ht="31.5" customHeight="1" x14ac:dyDescent="0.25">
      <c r="A41" s="78"/>
      <c r="B41" s="132"/>
      <c r="C41" s="549" t="s">
        <v>296</v>
      </c>
      <c r="D41" s="426">
        <v>45213</v>
      </c>
      <c r="E41" s="365" t="s">
        <v>50</v>
      </c>
      <c r="F41" s="93"/>
      <c r="G41" s="426">
        <v>45091</v>
      </c>
      <c r="H41" s="134"/>
      <c r="I41" s="468" t="s">
        <v>298</v>
      </c>
      <c r="J41" s="336" t="s">
        <v>294</v>
      </c>
      <c r="K41" s="513">
        <v>1</v>
      </c>
      <c r="L41" s="135"/>
      <c r="M41" s="87">
        <f t="shared" si="14"/>
        <v>1</v>
      </c>
      <c r="N41" s="130">
        <v>1</v>
      </c>
      <c r="O41" s="135"/>
      <c r="P41" s="137">
        <f t="shared" si="15"/>
        <v>0</v>
      </c>
      <c r="Q41" s="712">
        <f t="shared" si="3"/>
        <v>1</v>
      </c>
    </row>
    <row r="42" spans="1:17" s="121" customFormat="1" ht="21.75" customHeight="1" x14ac:dyDescent="0.25">
      <c r="A42" s="78"/>
      <c r="B42" s="132"/>
      <c r="C42" s="549" t="s">
        <v>414</v>
      </c>
      <c r="D42" s="426">
        <v>45083</v>
      </c>
      <c r="E42" s="365" t="s">
        <v>50</v>
      </c>
      <c r="F42" s="93"/>
      <c r="G42" s="426">
        <v>45042</v>
      </c>
      <c r="H42" s="134"/>
      <c r="I42" s="468" t="s">
        <v>255</v>
      </c>
      <c r="J42" s="538" t="s">
        <v>226</v>
      </c>
      <c r="K42" s="513">
        <v>30</v>
      </c>
      <c r="L42" s="135"/>
      <c r="M42" s="87">
        <v>10</v>
      </c>
      <c r="N42" s="130"/>
      <c r="O42" s="135"/>
      <c r="P42" s="137">
        <f t="shared" si="15"/>
        <v>10</v>
      </c>
      <c r="Q42" s="712">
        <f t="shared" si="3"/>
        <v>0</v>
      </c>
    </row>
    <row r="43" spans="1:17" s="121" customFormat="1" ht="29.25" customHeight="1" x14ac:dyDescent="0.25">
      <c r="A43" s="78"/>
      <c r="B43" s="132"/>
      <c r="C43" s="471" t="s">
        <v>418</v>
      </c>
      <c r="D43" s="351">
        <v>45311</v>
      </c>
      <c r="E43" s="365" t="s">
        <v>50</v>
      </c>
      <c r="F43" s="93"/>
      <c r="G43" s="426">
        <v>45238</v>
      </c>
      <c r="H43" s="134"/>
      <c r="I43" s="468" t="s">
        <v>524</v>
      </c>
      <c r="J43" s="336" t="s">
        <v>525</v>
      </c>
      <c r="K43" s="513">
        <v>2</v>
      </c>
      <c r="L43" s="135"/>
      <c r="M43" s="87">
        <v>2</v>
      </c>
      <c r="N43" s="130"/>
      <c r="O43" s="135"/>
      <c r="P43" s="137">
        <f t="shared" si="15"/>
        <v>2</v>
      </c>
      <c r="Q43" s="712">
        <f t="shared" si="3"/>
        <v>0</v>
      </c>
    </row>
    <row r="44" spans="1:17" s="121" customFormat="1" ht="29.25" customHeight="1" x14ac:dyDescent="0.25">
      <c r="A44" s="78"/>
      <c r="B44" s="132"/>
      <c r="C44" s="471" t="s">
        <v>418</v>
      </c>
      <c r="D44" s="351"/>
      <c r="E44" s="365" t="s">
        <v>50</v>
      </c>
      <c r="F44" s="93"/>
      <c r="G44" s="426">
        <v>45254</v>
      </c>
      <c r="H44" s="134"/>
      <c r="I44" s="468" t="s">
        <v>583</v>
      </c>
      <c r="J44" s="336" t="s">
        <v>584</v>
      </c>
      <c r="K44" s="513">
        <v>8</v>
      </c>
      <c r="L44" s="135"/>
      <c r="M44" s="87">
        <v>7</v>
      </c>
      <c r="N44" s="130"/>
      <c r="O44" s="135"/>
      <c r="P44" s="759">
        <f t="shared" si="15"/>
        <v>7</v>
      </c>
      <c r="Q44" s="712">
        <f t="shared" si="3"/>
        <v>0</v>
      </c>
    </row>
    <row r="45" spans="1:17" s="121" customFormat="1" ht="36.75" customHeight="1" x14ac:dyDescent="0.25">
      <c r="A45" s="78"/>
      <c r="B45" s="132"/>
      <c r="C45" s="471" t="s">
        <v>629</v>
      </c>
      <c r="D45" s="351">
        <v>45416</v>
      </c>
      <c r="E45" s="365" t="s">
        <v>50</v>
      </c>
      <c r="F45" s="93"/>
      <c r="G45" s="426">
        <v>45254</v>
      </c>
      <c r="H45" s="134"/>
      <c r="I45" s="468" t="s">
        <v>625</v>
      </c>
      <c r="J45" s="336" t="s">
        <v>626</v>
      </c>
      <c r="K45" s="513">
        <v>1</v>
      </c>
      <c r="L45" s="135"/>
      <c r="M45" s="87">
        <f t="shared" ref="M45:M61" si="16">K45</f>
        <v>1</v>
      </c>
      <c r="N45" s="130"/>
      <c r="O45" s="135"/>
      <c r="P45" s="137">
        <f t="shared" si="15"/>
        <v>1</v>
      </c>
      <c r="Q45" s="712">
        <f t="shared" si="3"/>
        <v>0</v>
      </c>
    </row>
    <row r="46" spans="1:17" s="121" customFormat="1" ht="35.25" customHeight="1" x14ac:dyDescent="0.25">
      <c r="A46" s="78"/>
      <c r="B46" s="132"/>
      <c r="C46" s="790" t="s">
        <v>713</v>
      </c>
      <c r="D46" s="351">
        <v>45422</v>
      </c>
      <c r="E46" s="365" t="s">
        <v>50</v>
      </c>
      <c r="F46" s="93"/>
      <c r="G46" s="426">
        <v>45306</v>
      </c>
      <c r="H46" s="134"/>
      <c r="I46" s="468" t="s">
        <v>714</v>
      </c>
      <c r="J46" s="336" t="s">
        <v>715</v>
      </c>
      <c r="K46" s="513">
        <v>5</v>
      </c>
      <c r="L46" s="135"/>
      <c r="M46" s="87">
        <f t="shared" si="16"/>
        <v>5</v>
      </c>
      <c r="N46" s="130"/>
      <c r="O46" s="135"/>
      <c r="P46" s="137">
        <f t="shared" si="15"/>
        <v>5</v>
      </c>
      <c r="Q46" s="712">
        <f t="shared" si="3"/>
        <v>0</v>
      </c>
    </row>
    <row r="47" spans="1:17" s="121" customFormat="1" ht="35.25" customHeight="1" x14ac:dyDescent="0.25">
      <c r="A47" s="78"/>
      <c r="B47" s="132"/>
      <c r="C47" s="792"/>
      <c r="D47" s="351">
        <v>45422</v>
      </c>
      <c r="E47" s="365" t="s">
        <v>50</v>
      </c>
      <c r="F47" s="93"/>
      <c r="G47" s="426">
        <v>45306</v>
      </c>
      <c r="H47" s="134"/>
      <c r="I47" s="468" t="s">
        <v>716</v>
      </c>
      <c r="J47" s="336" t="s">
        <v>717</v>
      </c>
      <c r="K47" s="513">
        <v>15</v>
      </c>
      <c r="L47" s="135"/>
      <c r="M47" s="87">
        <f t="shared" si="16"/>
        <v>15</v>
      </c>
      <c r="N47" s="729">
        <v>15</v>
      </c>
      <c r="O47" s="135"/>
      <c r="P47" s="137">
        <f t="shared" si="15"/>
        <v>0</v>
      </c>
      <c r="Q47" s="712">
        <f t="shared" si="3"/>
        <v>15</v>
      </c>
    </row>
    <row r="48" spans="1:17" s="121" customFormat="1" ht="35.25" customHeight="1" x14ac:dyDescent="0.25">
      <c r="A48" s="78"/>
      <c r="B48" s="132"/>
      <c r="C48" s="790" t="s">
        <v>834</v>
      </c>
      <c r="D48" s="351">
        <v>45453</v>
      </c>
      <c r="E48" s="365" t="s">
        <v>50</v>
      </c>
      <c r="F48" s="93"/>
      <c r="G48" s="426">
        <v>45355</v>
      </c>
      <c r="H48" s="134"/>
      <c r="I48" s="468" t="s">
        <v>831</v>
      </c>
      <c r="J48" s="336" t="s">
        <v>144</v>
      </c>
      <c r="K48" s="513">
        <v>2</v>
      </c>
      <c r="L48" s="135"/>
      <c r="M48" s="87">
        <f t="shared" si="16"/>
        <v>2</v>
      </c>
      <c r="N48" s="130"/>
      <c r="O48" s="135"/>
      <c r="P48" s="137">
        <f t="shared" si="15"/>
        <v>2</v>
      </c>
      <c r="Q48" s="712"/>
    </row>
    <row r="49" spans="1:17" s="121" customFormat="1" ht="35.25" customHeight="1" x14ac:dyDescent="0.25">
      <c r="A49" s="78"/>
      <c r="B49" s="132"/>
      <c r="C49" s="792"/>
      <c r="D49" s="351">
        <v>45518</v>
      </c>
      <c r="E49" s="365" t="s">
        <v>50</v>
      </c>
      <c r="F49" s="93"/>
      <c r="G49" s="426">
        <v>45355</v>
      </c>
      <c r="H49" s="134"/>
      <c r="I49" s="468" t="s">
        <v>832</v>
      </c>
      <c r="J49" s="336" t="s">
        <v>833</v>
      </c>
      <c r="K49" s="513">
        <v>1</v>
      </c>
      <c r="L49" s="135"/>
      <c r="M49" s="87">
        <f t="shared" si="16"/>
        <v>1</v>
      </c>
      <c r="N49" s="130"/>
      <c r="O49" s="135"/>
      <c r="P49" s="137">
        <f t="shared" si="15"/>
        <v>1</v>
      </c>
      <c r="Q49" s="712"/>
    </row>
    <row r="50" spans="1:17" s="121" customFormat="1" ht="35.25" customHeight="1" x14ac:dyDescent="0.25">
      <c r="A50" s="78"/>
      <c r="B50" s="132"/>
      <c r="C50" s="467"/>
      <c r="D50" s="351">
        <v>45379</v>
      </c>
      <c r="E50" s="365" t="s">
        <v>50</v>
      </c>
      <c r="F50" s="93"/>
      <c r="G50" s="426">
        <v>45351</v>
      </c>
      <c r="H50" s="134"/>
      <c r="I50" s="468" t="s">
        <v>811</v>
      </c>
      <c r="J50" s="336" t="s">
        <v>812</v>
      </c>
      <c r="K50" s="513">
        <v>2</v>
      </c>
      <c r="L50" s="135"/>
      <c r="M50" s="87">
        <f t="shared" si="16"/>
        <v>2</v>
      </c>
      <c r="N50" s="130">
        <v>2</v>
      </c>
      <c r="O50" s="135"/>
      <c r="P50" s="137">
        <f t="shared" si="15"/>
        <v>0</v>
      </c>
      <c r="Q50" s="712">
        <f t="shared" si="3"/>
        <v>2</v>
      </c>
    </row>
    <row r="51" spans="1:17" s="121" customFormat="1" ht="35.25" customHeight="1" x14ac:dyDescent="0.25">
      <c r="A51" s="78"/>
      <c r="B51" s="132"/>
      <c r="C51" s="790" t="s">
        <v>894</v>
      </c>
      <c r="D51" s="351">
        <v>45531</v>
      </c>
      <c r="E51" s="365" t="s">
        <v>50</v>
      </c>
      <c r="F51" s="93"/>
      <c r="G51" s="426">
        <v>45383</v>
      </c>
      <c r="H51" s="134"/>
      <c r="I51" s="468" t="s">
        <v>892</v>
      </c>
      <c r="J51" s="336" t="s">
        <v>144</v>
      </c>
      <c r="K51" s="513">
        <v>1</v>
      </c>
      <c r="L51" s="135"/>
      <c r="M51" s="87">
        <f>K51</f>
        <v>1</v>
      </c>
      <c r="N51" s="130"/>
      <c r="O51" s="135"/>
      <c r="P51" s="137">
        <f>M51-N51</f>
        <v>1</v>
      </c>
      <c r="Q51" s="712"/>
    </row>
    <row r="52" spans="1:17" s="121" customFormat="1" ht="35.25" customHeight="1" x14ac:dyDescent="0.25">
      <c r="A52" s="78"/>
      <c r="B52" s="132"/>
      <c r="C52" s="792"/>
      <c r="D52" s="351">
        <v>45524</v>
      </c>
      <c r="E52" s="365" t="s">
        <v>50</v>
      </c>
      <c r="F52" s="93"/>
      <c r="G52" s="426">
        <v>45383</v>
      </c>
      <c r="H52" s="134"/>
      <c r="I52" s="468" t="s">
        <v>893</v>
      </c>
      <c r="J52" s="336" t="s">
        <v>150</v>
      </c>
      <c r="K52" s="513">
        <v>1</v>
      </c>
      <c r="L52" s="135"/>
      <c r="M52" s="87">
        <f>K52</f>
        <v>1</v>
      </c>
      <c r="N52" s="130"/>
      <c r="O52" s="135"/>
      <c r="P52" s="137">
        <f>M52-N52</f>
        <v>1</v>
      </c>
      <c r="Q52" s="712"/>
    </row>
    <row r="53" spans="1:17" s="121" customFormat="1" ht="31.5" customHeight="1" x14ac:dyDescent="0.25">
      <c r="A53" s="78"/>
      <c r="B53" s="132"/>
      <c r="C53" s="790" t="s">
        <v>761</v>
      </c>
      <c r="D53" s="426">
        <v>45083</v>
      </c>
      <c r="E53" s="365" t="s">
        <v>50</v>
      </c>
      <c r="F53" s="93"/>
      <c r="G53" s="426">
        <v>45042</v>
      </c>
      <c r="H53" s="134"/>
      <c r="I53" s="468" t="s">
        <v>257</v>
      </c>
      <c r="J53" s="336" t="s">
        <v>244</v>
      </c>
      <c r="K53" s="513">
        <v>5</v>
      </c>
      <c r="L53" s="135"/>
      <c r="M53" s="87">
        <f t="shared" si="16"/>
        <v>5</v>
      </c>
      <c r="N53" s="130"/>
      <c r="O53" s="135"/>
      <c r="P53" s="137">
        <f t="shared" si="15"/>
        <v>5</v>
      </c>
      <c r="Q53" s="712">
        <f t="shared" si="3"/>
        <v>0</v>
      </c>
    </row>
    <row r="54" spans="1:17" s="121" customFormat="1" ht="31.5" customHeight="1" x14ac:dyDescent="0.25">
      <c r="A54" s="78"/>
      <c r="B54" s="132"/>
      <c r="C54" s="791"/>
      <c r="D54" s="426">
        <v>45083</v>
      </c>
      <c r="E54" s="365" t="s">
        <v>50</v>
      </c>
      <c r="F54" s="93"/>
      <c r="G54" s="426">
        <v>45042</v>
      </c>
      <c r="H54" s="134"/>
      <c r="I54" s="468" t="s">
        <v>258</v>
      </c>
      <c r="J54" s="336" t="s">
        <v>245</v>
      </c>
      <c r="K54" s="513">
        <v>5</v>
      </c>
      <c r="L54" s="135"/>
      <c r="M54" s="87">
        <f t="shared" si="16"/>
        <v>5</v>
      </c>
      <c r="N54" s="130"/>
      <c r="O54" s="135"/>
      <c r="P54" s="137">
        <f t="shared" si="15"/>
        <v>5</v>
      </c>
      <c r="Q54" s="712">
        <f t="shared" si="3"/>
        <v>0</v>
      </c>
    </row>
    <row r="55" spans="1:17" s="121" customFormat="1" ht="31.5" customHeight="1" x14ac:dyDescent="0.25">
      <c r="A55" s="78"/>
      <c r="B55" s="132"/>
      <c r="C55" s="791"/>
      <c r="D55" s="426">
        <v>45083</v>
      </c>
      <c r="E55" s="365" t="s">
        <v>50</v>
      </c>
      <c r="F55" s="93"/>
      <c r="G55" s="426">
        <v>45042</v>
      </c>
      <c r="H55" s="134"/>
      <c r="I55" s="468" t="s">
        <v>259</v>
      </c>
      <c r="J55" s="336" t="s">
        <v>246</v>
      </c>
      <c r="K55" s="513">
        <v>5</v>
      </c>
      <c r="L55" s="135"/>
      <c r="M55" s="87">
        <f t="shared" si="16"/>
        <v>5</v>
      </c>
      <c r="N55" s="130"/>
      <c r="O55" s="135"/>
      <c r="P55" s="137">
        <f t="shared" si="15"/>
        <v>5</v>
      </c>
      <c r="Q55" s="712">
        <f t="shared" si="3"/>
        <v>0</v>
      </c>
    </row>
    <row r="56" spans="1:17" s="121" customFormat="1" ht="31.5" customHeight="1" x14ac:dyDescent="0.25">
      <c r="A56" s="78"/>
      <c r="B56" s="132"/>
      <c r="C56" s="791"/>
      <c r="D56" s="426">
        <v>45083</v>
      </c>
      <c r="E56" s="365" t="s">
        <v>50</v>
      </c>
      <c r="F56" s="93"/>
      <c r="G56" s="426">
        <v>45042</v>
      </c>
      <c r="H56" s="134"/>
      <c r="I56" s="468" t="s">
        <v>260</v>
      </c>
      <c r="J56" s="336" t="s">
        <v>247</v>
      </c>
      <c r="K56" s="513">
        <v>20</v>
      </c>
      <c r="L56" s="135"/>
      <c r="M56" s="87">
        <f t="shared" si="16"/>
        <v>20</v>
      </c>
      <c r="N56" s="130"/>
      <c r="O56" s="135"/>
      <c r="P56" s="137">
        <f t="shared" si="15"/>
        <v>20</v>
      </c>
      <c r="Q56" s="712">
        <f t="shared" si="3"/>
        <v>0</v>
      </c>
    </row>
    <row r="57" spans="1:17" s="121" customFormat="1" ht="31.5" customHeight="1" x14ac:dyDescent="0.25">
      <c r="A57" s="78"/>
      <c r="B57" s="132"/>
      <c r="C57" s="791"/>
      <c r="D57" s="426">
        <v>45083</v>
      </c>
      <c r="E57" s="365" t="s">
        <v>50</v>
      </c>
      <c r="F57" s="93"/>
      <c r="G57" s="426">
        <v>45042</v>
      </c>
      <c r="H57" s="134"/>
      <c r="I57" s="468" t="s">
        <v>261</v>
      </c>
      <c r="J57" s="336" t="s">
        <v>248</v>
      </c>
      <c r="K57" s="513">
        <v>50</v>
      </c>
      <c r="L57" s="135"/>
      <c r="M57" s="87">
        <f t="shared" si="16"/>
        <v>50</v>
      </c>
      <c r="N57" s="130"/>
      <c r="O57" s="135"/>
      <c r="P57" s="137">
        <f t="shared" si="15"/>
        <v>50</v>
      </c>
      <c r="Q57" s="712">
        <f t="shared" si="3"/>
        <v>0</v>
      </c>
    </row>
    <row r="58" spans="1:17" s="121" customFormat="1" ht="33" customHeight="1" x14ac:dyDescent="0.25">
      <c r="A58" s="78"/>
      <c r="B58" s="132"/>
      <c r="C58" s="791"/>
      <c r="D58" s="426">
        <v>45083</v>
      </c>
      <c r="E58" s="365" t="s">
        <v>50</v>
      </c>
      <c r="F58" s="93"/>
      <c r="G58" s="426">
        <v>45042</v>
      </c>
      <c r="H58" s="134"/>
      <c r="I58" s="468" t="s">
        <v>264</v>
      </c>
      <c r="J58" s="336" t="s">
        <v>251</v>
      </c>
      <c r="K58" s="513">
        <v>2</v>
      </c>
      <c r="L58" s="135"/>
      <c r="M58" s="87">
        <f t="shared" si="16"/>
        <v>2</v>
      </c>
      <c r="N58" s="130"/>
      <c r="O58" s="135"/>
      <c r="P58" s="137">
        <f t="shared" si="15"/>
        <v>2</v>
      </c>
      <c r="Q58" s="712">
        <f t="shared" si="3"/>
        <v>0</v>
      </c>
    </row>
    <row r="59" spans="1:17" s="121" customFormat="1" ht="33" customHeight="1" x14ac:dyDescent="0.25">
      <c r="A59" s="78"/>
      <c r="B59" s="132"/>
      <c r="C59" s="791"/>
      <c r="D59" s="426">
        <v>45083</v>
      </c>
      <c r="E59" s="365" t="s">
        <v>50</v>
      </c>
      <c r="F59" s="93"/>
      <c r="G59" s="426">
        <v>45042</v>
      </c>
      <c r="H59" s="134"/>
      <c r="I59" s="468" t="s">
        <v>265</v>
      </c>
      <c r="J59" s="336" t="s">
        <v>252</v>
      </c>
      <c r="K59" s="513">
        <v>2</v>
      </c>
      <c r="L59" s="135"/>
      <c r="M59" s="87">
        <f t="shared" si="16"/>
        <v>2</v>
      </c>
      <c r="N59" s="130"/>
      <c r="O59" s="135"/>
      <c r="P59" s="137">
        <f t="shared" si="15"/>
        <v>2</v>
      </c>
      <c r="Q59" s="712">
        <f t="shared" si="3"/>
        <v>0</v>
      </c>
    </row>
    <row r="60" spans="1:17" s="121" customFormat="1" ht="33" customHeight="1" x14ac:dyDescent="0.25">
      <c r="A60" s="78"/>
      <c r="B60" s="132"/>
      <c r="C60" s="791"/>
      <c r="D60" s="426">
        <v>45083</v>
      </c>
      <c r="E60" s="365" t="s">
        <v>50</v>
      </c>
      <c r="F60" s="93"/>
      <c r="G60" s="426">
        <v>45042</v>
      </c>
      <c r="H60" s="134"/>
      <c r="I60" s="468" t="s">
        <v>266</v>
      </c>
      <c r="J60" s="336" t="s">
        <v>253</v>
      </c>
      <c r="K60" s="513">
        <v>2</v>
      </c>
      <c r="L60" s="135"/>
      <c r="M60" s="87">
        <f t="shared" si="16"/>
        <v>2</v>
      </c>
      <c r="N60" s="130"/>
      <c r="O60" s="135"/>
      <c r="P60" s="137">
        <f t="shared" si="15"/>
        <v>2</v>
      </c>
      <c r="Q60" s="712">
        <f t="shared" si="3"/>
        <v>0</v>
      </c>
    </row>
    <row r="61" spans="1:17" s="121" customFormat="1" ht="33" customHeight="1" x14ac:dyDescent="0.25">
      <c r="A61" s="78"/>
      <c r="B61" s="132"/>
      <c r="C61" s="818"/>
      <c r="D61" s="426">
        <v>45083</v>
      </c>
      <c r="E61" s="365" t="s">
        <v>50</v>
      </c>
      <c r="F61" s="93"/>
      <c r="G61" s="426">
        <v>45042</v>
      </c>
      <c r="H61" s="134"/>
      <c r="I61" s="468" t="s">
        <v>267</v>
      </c>
      <c r="J61" s="336" t="s">
        <v>254</v>
      </c>
      <c r="K61" s="513">
        <v>2</v>
      </c>
      <c r="L61" s="135"/>
      <c r="M61" s="87">
        <f t="shared" si="16"/>
        <v>2</v>
      </c>
      <c r="N61" s="130"/>
      <c r="O61" s="135"/>
      <c r="P61" s="137">
        <f t="shared" si="15"/>
        <v>2</v>
      </c>
      <c r="Q61" s="712">
        <f t="shared" si="3"/>
        <v>0</v>
      </c>
    </row>
    <row r="62" spans="1:17" s="9" customFormat="1" ht="27.75" customHeight="1" x14ac:dyDescent="0.25">
      <c r="A62" s="97"/>
      <c r="B62" s="330" t="s">
        <v>43</v>
      </c>
      <c r="C62" s="642"/>
      <c r="D62" s="98"/>
      <c r="E62" s="99"/>
      <c r="F62" s="575">
        <f>SUM(F63:F70)</f>
        <v>412196.08999999997</v>
      </c>
      <c r="G62" s="101"/>
      <c r="H62" s="102"/>
      <c r="I62" s="819" t="s">
        <v>772</v>
      </c>
      <c r="J62" s="820"/>
      <c r="K62" s="821"/>
      <c r="L62" s="111"/>
      <c r="M62" s="112"/>
      <c r="N62" s="113"/>
      <c r="O62" s="111"/>
      <c r="P62" s="112"/>
      <c r="Q62" s="712">
        <f t="shared" si="3"/>
        <v>0</v>
      </c>
    </row>
    <row r="63" spans="1:17" s="1" customFormat="1" ht="35.25" customHeight="1" x14ac:dyDescent="0.25">
      <c r="A63" s="333"/>
      <c r="B63" s="377"/>
      <c r="C63" s="532" t="s">
        <v>242</v>
      </c>
      <c r="D63" s="436">
        <v>45090</v>
      </c>
      <c r="E63" s="365" t="s">
        <v>50</v>
      </c>
      <c r="F63" s="677">
        <v>288201.3</v>
      </c>
      <c r="G63" s="437">
        <v>45028</v>
      </c>
      <c r="H63" s="421"/>
      <c r="I63" s="468" t="s">
        <v>236</v>
      </c>
      <c r="J63" s="447" t="s">
        <v>235</v>
      </c>
      <c r="K63" s="453">
        <v>1</v>
      </c>
      <c r="L63" s="420"/>
      <c r="M63" s="87">
        <f t="shared" ref="M63:M69" si="17">K63</f>
        <v>1</v>
      </c>
      <c r="N63" s="449"/>
      <c r="O63" s="142"/>
      <c r="P63" s="137">
        <f t="shared" ref="P63" si="18">K63-N63</f>
        <v>1</v>
      </c>
      <c r="Q63" s="712">
        <f t="shared" si="3"/>
        <v>0</v>
      </c>
    </row>
    <row r="64" spans="1:17" s="1" customFormat="1" ht="35.25" customHeight="1" x14ac:dyDescent="0.25">
      <c r="A64" s="333"/>
      <c r="B64" s="377"/>
      <c r="C64" s="532" t="s">
        <v>279</v>
      </c>
      <c r="D64" s="436">
        <v>45137</v>
      </c>
      <c r="E64" s="365" t="s">
        <v>50</v>
      </c>
      <c r="F64" s="677">
        <v>14478.02</v>
      </c>
      <c r="G64" s="437">
        <v>45082</v>
      </c>
      <c r="H64" s="421"/>
      <c r="I64" s="468" t="s">
        <v>280</v>
      </c>
      <c r="J64" s="447" t="s">
        <v>281</v>
      </c>
      <c r="K64" s="453">
        <v>1</v>
      </c>
      <c r="L64" s="420"/>
      <c r="M64" s="87">
        <f t="shared" si="17"/>
        <v>1</v>
      </c>
      <c r="N64" s="449"/>
      <c r="O64" s="142"/>
      <c r="P64" s="137">
        <f>M64-N64</f>
        <v>1</v>
      </c>
      <c r="Q64" s="712">
        <f t="shared" si="3"/>
        <v>0</v>
      </c>
    </row>
    <row r="65" spans="1:17" s="1" customFormat="1" ht="35.25" customHeight="1" x14ac:dyDescent="0.25">
      <c r="A65" s="333"/>
      <c r="B65" s="377"/>
      <c r="C65" s="797" t="s">
        <v>768</v>
      </c>
      <c r="D65" s="436">
        <v>45244</v>
      </c>
      <c r="E65" s="365" t="s">
        <v>60</v>
      </c>
      <c r="F65" s="677"/>
      <c r="G65" s="437">
        <v>45156</v>
      </c>
      <c r="H65" s="421"/>
      <c r="I65" s="468" t="s">
        <v>368</v>
      </c>
      <c r="J65" s="447" t="s">
        <v>365</v>
      </c>
      <c r="K65" s="453">
        <v>2</v>
      </c>
      <c r="L65" s="420"/>
      <c r="M65" s="87">
        <f t="shared" si="17"/>
        <v>2</v>
      </c>
      <c r="N65" s="449"/>
      <c r="O65" s="142"/>
      <c r="P65" s="137">
        <f t="shared" ref="P65:P69" si="19">M65-N65</f>
        <v>2</v>
      </c>
      <c r="Q65" s="712">
        <f t="shared" si="3"/>
        <v>0</v>
      </c>
    </row>
    <row r="66" spans="1:17" s="1" customFormat="1" ht="35.25" customHeight="1" x14ac:dyDescent="0.25">
      <c r="A66" s="333"/>
      <c r="B66" s="377"/>
      <c r="C66" s="797"/>
      <c r="D66" s="436">
        <v>45244</v>
      </c>
      <c r="E66" s="365" t="s">
        <v>60</v>
      </c>
      <c r="F66" s="677"/>
      <c r="G66" s="437">
        <v>45156</v>
      </c>
      <c r="H66" s="421"/>
      <c r="I66" s="468" t="s">
        <v>369</v>
      </c>
      <c r="J66" s="447" t="s">
        <v>366</v>
      </c>
      <c r="K66" s="453">
        <v>1</v>
      </c>
      <c r="L66" s="420"/>
      <c r="M66" s="87">
        <f t="shared" si="17"/>
        <v>1</v>
      </c>
      <c r="N66" s="449"/>
      <c r="O66" s="142"/>
      <c r="P66" s="137">
        <f t="shared" si="19"/>
        <v>1</v>
      </c>
      <c r="Q66" s="712">
        <f t="shared" si="3"/>
        <v>0</v>
      </c>
    </row>
    <row r="67" spans="1:17" s="1" customFormat="1" ht="35.25" customHeight="1" x14ac:dyDescent="0.25">
      <c r="A67" s="333"/>
      <c r="B67" s="377"/>
      <c r="C67" s="797"/>
      <c r="D67" s="436">
        <v>45244</v>
      </c>
      <c r="E67" s="365" t="s">
        <v>60</v>
      </c>
      <c r="F67" s="677"/>
      <c r="G67" s="437">
        <v>45156</v>
      </c>
      <c r="H67" s="421"/>
      <c r="I67" s="468" t="s">
        <v>370</v>
      </c>
      <c r="J67" s="447" t="s">
        <v>367</v>
      </c>
      <c r="K67" s="453">
        <v>1</v>
      </c>
      <c r="L67" s="420"/>
      <c r="M67" s="87">
        <f t="shared" si="17"/>
        <v>1</v>
      </c>
      <c r="N67" s="449"/>
      <c r="O67" s="142"/>
      <c r="P67" s="137">
        <f t="shared" si="19"/>
        <v>1</v>
      </c>
      <c r="Q67" s="712">
        <f t="shared" si="3"/>
        <v>0</v>
      </c>
    </row>
    <row r="68" spans="1:17" s="1" customFormat="1" ht="35.25" customHeight="1" x14ac:dyDescent="0.25">
      <c r="A68" s="333"/>
      <c r="B68" s="377"/>
      <c r="C68" s="798"/>
      <c r="D68" s="436">
        <v>45244</v>
      </c>
      <c r="E68" s="365" t="s">
        <v>60</v>
      </c>
      <c r="F68" s="677">
        <v>55506.74</v>
      </c>
      <c r="G68" s="437">
        <v>45156</v>
      </c>
      <c r="H68" s="421"/>
      <c r="I68" s="468" t="s">
        <v>371</v>
      </c>
      <c r="J68" s="335" t="s">
        <v>208</v>
      </c>
      <c r="K68" s="453">
        <v>30</v>
      </c>
      <c r="L68" s="420"/>
      <c r="M68" s="87">
        <f t="shared" si="17"/>
        <v>30</v>
      </c>
      <c r="N68" s="449"/>
      <c r="O68" s="142"/>
      <c r="P68" s="137">
        <f t="shared" si="19"/>
        <v>30</v>
      </c>
      <c r="Q68" s="712">
        <f t="shared" si="3"/>
        <v>0</v>
      </c>
    </row>
    <row r="69" spans="1:17" s="1" customFormat="1" ht="35.25" customHeight="1" x14ac:dyDescent="0.25">
      <c r="A69" s="333"/>
      <c r="B69" s="377"/>
      <c r="C69" s="532" t="s">
        <v>490</v>
      </c>
      <c r="D69" s="436">
        <v>45301</v>
      </c>
      <c r="E69" s="365" t="s">
        <v>60</v>
      </c>
      <c r="F69" s="677">
        <v>54010.03</v>
      </c>
      <c r="G69" s="437">
        <v>45210</v>
      </c>
      <c r="H69" s="421"/>
      <c r="I69" s="468" t="s">
        <v>492</v>
      </c>
      <c r="J69" s="447" t="s">
        <v>491</v>
      </c>
      <c r="K69" s="453">
        <v>2</v>
      </c>
      <c r="L69" s="420"/>
      <c r="M69" s="87">
        <f t="shared" si="17"/>
        <v>2</v>
      </c>
      <c r="N69" s="449"/>
      <c r="O69" s="142"/>
      <c r="P69" s="137">
        <f t="shared" si="19"/>
        <v>2</v>
      </c>
      <c r="Q69" s="712">
        <f t="shared" si="3"/>
        <v>0</v>
      </c>
    </row>
    <row r="70" spans="1:17" s="1" customFormat="1" ht="32.25" customHeight="1" x14ac:dyDescent="0.25">
      <c r="A70" s="333"/>
      <c r="B70" s="377"/>
      <c r="C70" s="488" t="s">
        <v>769</v>
      </c>
      <c r="D70" s="436">
        <v>45199</v>
      </c>
      <c r="E70" s="365" t="s">
        <v>50</v>
      </c>
      <c r="F70" s="677"/>
      <c r="G70" s="437">
        <v>45154</v>
      </c>
      <c r="H70" s="421"/>
      <c r="I70" s="468" t="s">
        <v>382</v>
      </c>
      <c r="J70" s="447" t="s">
        <v>228</v>
      </c>
      <c r="K70" s="453">
        <v>15</v>
      </c>
      <c r="L70" s="420"/>
      <c r="M70" s="87">
        <v>14</v>
      </c>
      <c r="N70" s="449"/>
      <c r="O70" s="142"/>
      <c r="P70" s="137">
        <f>M70-N70</f>
        <v>14</v>
      </c>
      <c r="Q70" s="712">
        <f t="shared" si="3"/>
        <v>0</v>
      </c>
    </row>
    <row r="71" spans="1:17" s="1" customFormat="1" ht="16.5" customHeight="1" x14ac:dyDescent="0.25">
      <c r="A71" s="474"/>
      <c r="B71" s="462" t="s">
        <v>111</v>
      </c>
      <c r="C71" s="641"/>
      <c r="D71" s="486"/>
      <c r="E71" s="475"/>
      <c r="F71" s="476"/>
      <c r="G71" s="477"/>
      <c r="H71" s="463"/>
      <c r="I71" s="478"/>
      <c r="J71" s="479"/>
      <c r="K71" s="480"/>
      <c r="L71" s="464"/>
      <c r="M71" s="54"/>
      <c r="N71" s="55"/>
      <c r="O71" s="464"/>
      <c r="P71" s="465"/>
      <c r="Q71" s="712">
        <f t="shared" si="3"/>
        <v>0</v>
      </c>
    </row>
    <row r="72" spans="1:17" s="9" customFormat="1" ht="25.5" customHeight="1" x14ac:dyDescent="0.25">
      <c r="A72" s="78"/>
      <c r="B72" s="527"/>
      <c r="C72" s="643" t="s">
        <v>562</v>
      </c>
      <c r="D72" s="351">
        <v>45209</v>
      </c>
      <c r="E72" s="337" t="s">
        <v>50</v>
      </c>
      <c r="F72" s="380"/>
      <c r="G72" s="351">
        <v>45086</v>
      </c>
      <c r="H72" s="328"/>
      <c r="I72" s="338" t="s">
        <v>289</v>
      </c>
      <c r="J72" s="335" t="s">
        <v>288</v>
      </c>
      <c r="K72" s="453">
        <v>1</v>
      </c>
      <c r="L72" s="329"/>
      <c r="M72" s="87">
        <f t="shared" ref="M72:M75" si="20">K72</f>
        <v>1</v>
      </c>
      <c r="N72" s="449"/>
      <c r="O72" s="142"/>
      <c r="P72" s="137">
        <f t="shared" ref="P72:P75" si="21">M72-N72</f>
        <v>1</v>
      </c>
      <c r="Q72" s="712">
        <f t="shared" si="3"/>
        <v>0</v>
      </c>
    </row>
    <row r="73" spans="1:17" s="9" customFormat="1" ht="25.5" customHeight="1" x14ac:dyDescent="0.25">
      <c r="A73" s="78"/>
      <c r="B73" s="527"/>
      <c r="C73" s="644" t="s">
        <v>671</v>
      </c>
      <c r="D73" s="351">
        <v>45407</v>
      </c>
      <c r="E73" s="337" t="s">
        <v>50</v>
      </c>
      <c r="F73" s="380"/>
      <c r="G73" s="351">
        <v>45286</v>
      </c>
      <c r="H73" s="328"/>
      <c r="I73" s="338" t="s">
        <v>672</v>
      </c>
      <c r="J73" s="335" t="s">
        <v>673</v>
      </c>
      <c r="K73" s="453">
        <v>3</v>
      </c>
      <c r="L73" s="329"/>
      <c r="M73" s="87">
        <f t="shared" si="20"/>
        <v>3</v>
      </c>
      <c r="N73" s="449"/>
      <c r="O73" s="142"/>
      <c r="P73" s="137">
        <f t="shared" si="21"/>
        <v>3</v>
      </c>
      <c r="Q73" s="712">
        <f t="shared" si="3"/>
        <v>0</v>
      </c>
    </row>
    <row r="74" spans="1:17" s="9" customFormat="1" ht="25.5" customHeight="1" x14ac:dyDescent="0.25">
      <c r="A74" s="78"/>
      <c r="B74" s="527"/>
      <c r="C74" s="644" t="s">
        <v>757</v>
      </c>
      <c r="D74" s="351">
        <v>45429</v>
      </c>
      <c r="E74" s="337" t="s">
        <v>50</v>
      </c>
      <c r="F74" s="380"/>
      <c r="G74" s="351">
        <v>45329</v>
      </c>
      <c r="H74" s="328"/>
      <c r="I74" s="338" t="s">
        <v>755</v>
      </c>
      <c r="J74" s="335" t="s">
        <v>756</v>
      </c>
      <c r="K74" s="453">
        <v>2</v>
      </c>
      <c r="L74" s="329"/>
      <c r="M74" s="87">
        <f t="shared" si="20"/>
        <v>2</v>
      </c>
      <c r="N74" s="449"/>
      <c r="O74" s="142"/>
      <c r="P74" s="137">
        <f t="shared" si="21"/>
        <v>2</v>
      </c>
      <c r="Q74" s="712">
        <f t="shared" si="3"/>
        <v>0</v>
      </c>
    </row>
    <row r="75" spans="1:17" s="9" customFormat="1" ht="25.5" customHeight="1" x14ac:dyDescent="0.25">
      <c r="A75" s="78"/>
      <c r="B75" s="527"/>
      <c r="C75" s="644" t="s">
        <v>809</v>
      </c>
      <c r="D75" s="351">
        <v>45355</v>
      </c>
      <c r="E75" s="337" t="s">
        <v>50</v>
      </c>
      <c r="F75" s="380"/>
      <c r="G75" s="351">
        <v>45349</v>
      </c>
      <c r="H75" s="328"/>
      <c r="I75" s="338" t="s">
        <v>807</v>
      </c>
      <c r="J75" s="335" t="s">
        <v>808</v>
      </c>
      <c r="K75" s="453">
        <v>30</v>
      </c>
      <c r="L75" s="329"/>
      <c r="M75" s="87">
        <f t="shared" si="20"/>
        <v>30</v>
      </c>
      <c r="N75" s="449">
        <f>16+3+1</f>
        <v>20</v>
      </c>
      <c r="O75" s="142"/>
      <c r="P75" s="137">
        <f t="shared" si="21"/>
        <v>10</v>
      </c>
      <c r="Q75" s="712">
        <f t="shared" si="3"/>
        <v>20</v>
      </c>
    </row>
    <row r="76" spans="1:17" s="9" customFormat="1" ht="25.5" customHeight="1" x14ac:dyDescent="0.25">
      <c r="A76" s="78"/>
      <c r="B76" s="527"/>
      <c r="C76" s="830" t="s">
        <v>909</v>
      </c>
      <c r="D76" s="725">
        <v>45504</v>
      </c>
      <c r="E76" s="337" t="s">
        <v>910</v>
      </c>
      <c r="F76" s="380"/>
      <c r="G76" s="351">
        <v>45385</v>
      </c>
      <c r="H76" s="328"/>
      <c r="I76" s="338" t="s">
        <v>904</v>
      </c>
      <c r="J76" s="335" t="s">
        <v>905</v>
      </c>
      <c r="K76" s="453">
        <v>1</v>
      </c>
      <c r="L76" s="329"/>
      <c r="M76" s="87">
        <f t="shared" ref="M76:M78" si="22">K76</f>
        <v>1</v>
      </c>
      <c r="N76" s="449"/>
      <c r="O76" s="142"/>
      <c r="P76" s="137">
        <f t="shared" ref="P76:P78" si="23">M76-N76</f>
        <v>1</v>
      </c>
      <c r="Q76" s="712"/>
    </row>
    <row r="77" spans="1:17" s="9" customFormat="1" ht="25.5" customHeight="1" x14ac:dyDescent="0.25">
      <c r="A77" s="78"/>
      <c r="B77" s="527"/>
      <c r="C77" s="831"/>
      <c r="D77" s="725">
        <v>45504</v>
      </c>
      <c r="E77" s="337" t="s">
        <v>910</v>
      </c>
      <c r="F77" s="380"/>
      <c r="G77" s="351">
        <v>45385</v>
      </c>
      <c r="H77" s="328"/>
      <c r="I77" s="338" t="s">
        <v>906</v>
      </c>
      <c r="J77" s="335" t="s">
        <v>907</v>
      </c>
      <c r="K77" s="453">
        <v>1</v>
      </c>
      <c r="L77" s="329"/>
      <c r="M77" s="87">
        <f t="shared" si="22"/>
        <v>1</v>
      </c>
      <c r="N77" s="449"/>
      <c r="O77" s="142"/>
      <c r="P77" s="137">
        <f t="shared" si="23"/>
        <v>1</v>
      </c>
      <c r="Q77" s="712"/>
    </row>
    <row r="78" spans="1:17" s="9" customFormat="1" ht="25.5" customHeight="1" x14ac:dyDescent="0.25">
      <c r="A78" s="78"/>
      <c r="B78" s="79"/>
      <c r="C78" s="832"/>
      <c r="D78" s="708">
        <v>45504</v>
      </c>
      <c r="E78" s="337" t="s">
        <v>910</v>
      </c>
      <c r="F78" s="709"/>
      <c r="G78" s="708">
        <v>45385</v>
      </c>
      <c r="H78" s="421"/>
      <c r="I78" s="338" t="s">
        <v>908</v>
      </c>
      <c r="J78" s="335" t="s">
        <v>756</v>
      </c>
      <c r="K78" s="453">
        <v>1</v>
      </c>
      <c r="L78" s="420"/>
      <c r="M78" s="87">
        <f t="shared" si="22"/>
        <v>1</v>
      </c>
      <c r="N78" s="449"/>
      <c r="O78" s="142"/>
      <c r="P78" s="137">
        <f t="shared" si="23"/>
        <v>1</v>
      </c>
      <c r="Q78" s="712"/>
    </row>
    <row r="79" spans="1:17" s="56" customFormat="1" ht="21.75" customHeight="1" x14ac:dyDescent="0.25">
      <c r="A79" s="41"/>
      <c r="B79" s="516" t="s">
        <v>95</v>
      </c>
      <c r="C79" s="639"/>
      <c r="D79" s="44"/>
      <c r="E79" s="45"/>
      <c r="F79" s="46"/>
      <c r="G79" s="47"/>
      <c r="H79" s="460"/>
      <c r="I79" s="49"/>
      <c r="J79" s="50"/>
      <c r="K79" s="51"/>
      <c r="L79" s="461"/>
      <c r="M79" s="54"/>
      <c r="N79" s="55"/>
      <c r="O79" s="461"/>
      <c r="P79" s="54"/>
      <c r="Q79" s="712">
        <f t="shared" si="3"/>
        <v>0</v>
      </c>
    </row>
    <row r="80" spans="1:17" s="9" customFormat="1" ht="25.5" customHeight="1" x14ac:dyDescent="0.25">
      <c r="A80" s="78"/>
      <c r="B80" s="379"/>
      <c r="C80" s="724" t="s">
        <v>360</v>
      </c>
      <c r="D80" s="552">
        <v>45291</v>
      </c>
      <c r="E80" s="365" t="s">
        <v>60</v>
      </c>
      <c r="F80" s="553"/>
      <c r="G80" s="351">
        <v>45141</v>
      </c>
      <c r="H80" s="328"/>
      <c r="I80" s="338" t="s">
        <v>361</v>
      </c>
      <c r="J80" s="335" t="s">
        <v>363</v>
      </c>
      <c r="K80" s="443">
        <v>1</v>
      </c>
      <c r="L80" s="458"/>
      <c r="M80" s="137">
        <f t="shared" ref="M80:M83" si="24">K80</f>
        <v>1</v>
      </c>
      <c r="N80" s="731">
        <v>1</v>
      </c>
      <c r="O80" s="438"/>
      <c r="P80" s="87">
        <f t="shared" ref="P80:P83" si="25">M80-N80</f>
        <v>0</v>
      </c>
      <c r="Q80" s="712">
        <f t="shared" si="3"/>
        <v>1</v>
      </c>
    </row>
    <row r="81" spans="1:17" s="9" customFormat="1" ht="25.5" customHeight="1" x14ac:dyDescent="0.25">
      <c r="A81" s="78"/>
      <c r="B81" s="79"/>
      <c r="C81" s="378" t="s">
        <v>903</v>
      </c>
      <c r="D81" s="337">
        <v>45410</v>
      </c>
      <c r="E81" s="365" t="s">
        <v>60</v>
      </c>
      <c r="F81" s="380"/>
      <c r="G81" s="350">
        <v>45379</v>
      </c>
      <c r="H81" s="421"/>
      <c r="I81" s="338" t="s">
        <v>901</v>
      </c>
      <c r="J81" s="335" t="s">
        <v>902</v>
      </c>
      <c r="K81" s="443">
        <v>10</v>
      </c>
      <c r="L81" s="526"/>
      <c r="M81" s="137">
        <f t="shared" ref="M81:M82" si="26">K81</f>
        <v>10</v>
      </c>
      <c r="N81" s="433"/>
      <c r="O81" s="438"/>
      <c r="P81" s="87">
        <f t="shared" ref="P81:P82" si="27">M81-N81</f>
        <v>10</v>
      </c>
      <c r="Q81" s="712">
        <f t="shared" ref="Q81" si="28">M81-P81</f>
        <v>0</v>
      </c>
    </row>
    <row r="82" spans="1:17" s="9" customFormat="1" ht="36.75" customHeight="1" x14ac:dyDescent="0.25">
      <c r="A82" s="78"/>
      <c r="B82" s="79"/>
      <c r="C82" s="644" t="s">
        <v>936</v>
      </c>
      <c r="D82" s="552">
        <v>45414</v>
      </c>
      <c r="E82" s="365" t="s">
        <v>60</v>
      </c>
      <c r="F82" s="380"/>
      <c r="G82" s="350">
        <v>45394</v>
      </c>
      <c r="H82" s="421"/>
      <c r="I82" s="338" t="s">
        <v>935</v>
      </c>
      <c r="J82" s="335" t="s">
        <v>844</v>
      </c>
      <c r="K82" s="443">
        <v>7</v>
      </c>
      <c r="L82" s="526"/>
      <c r="M82" s="137">
        <f t="shared" si="26"/>
        <v>7</v>
      </c>
      <c r="N82" s="732"/>
      <c r="O82" s="438"/>
      <c r="P82" s="137">
        <f t="shared" si="27"/>
        <v>7</v>
      </c>
      <c r="Q82" s="712"/>
    </row>
    <row r="83" spans="1:17" s="9" customFormat="1" ht="35.25" customHeight="1" x14ac:dyDescent="0.25">
      <c r="A83" s="78"/>
      <c r="B83" s="79"/>
      <c r="C83" s="644" t="s">
        <v>845</v>
      </c>
      <c r="D83" s="708">
        <v>45407</v>
      </c>
      <c r="E83" s="337" t="s">
        <v>60</v>
      </c>
      <c r="F83" s="709"/>
      <c r="G83" s="708">
        <v>45363</v>
      </c>
      <c r="H83" s="421"/>
      <c r="I83" s="338" t="s">
        <v>843</v>
      </c>
      <c r="J83" s="335" t="s">
        <v>844</v>
      </c>
      <c r="K83" s="443">
        <v>6</v>
      </c>
      <c r="L83" s="420"/>
      <c r="M83" s="87">
        <f t="shared" si="24"/>
        <v>6</v>
      </c>
      <c r="N83" s="733">
        <v>6</v>
      </c>
      <c r="O83" s="730"/>
      <c r="P83" s="137">
        <f t="shared" si="25"/>
        <v>0</v>
      </c>
      <c r="Q83" s="712"/>
    </row>
    <row r="84" spans="1:17" s="56" customFormat="1" ht="21" customHeight="1" x14ac:dyDescent="0.25">
      <c r="A84" s="41"/>
      <c r="B84" s="459" t="s">
        <v>588</v>
      </c>
      <c r="C84" s="639"/>
      <c r="D84" s="44"/>
      <c r="E84" s="45"/>
      <c r="F84" s="46"/>
      <c r="G84" s="47"/>
      <c r="H84" s="460"/>
      <c r="I84" s="49"/>
      <c r="J84" s="50"/>
      <c r="K84" s="51"/>
      <c r="L84" s="461"/>
      <c r="M84" s="54"/>
      <c r="N84" s="55"/>
      <c r="O84" s="461"/>
      <c r="P84" s="54"/>
      <c r="Q84" s="712">
        <f t="shared" si="3"/>
        <v>0</v>
      </c>
    </row>
    <row r="85" spans="1:17" s="9" customFormat="1" ht="25.5" customHeight="1" x14ac:dyDescent="0.25">
      <c r="A85" s="78"/>
      <c r="B85" s="379"/>
      <c r="C85" s="828" t="s">
        <v>804</v>
      </c>
      <c r="D85" s="552">
        <v>45407</v>
      </c>
      <c r="E85" s="428" t="s">
        <v>50</v>
      </c>
      <c r="F85" s="702"/>
      <c r="G85" s="351">
        <v>45349</v>
      </c>
      <c r="H85" s="328"/>
      <c r="I85" s="338" t="s">
        <v>792</v>
      </c>
      <c r="J85" s="335" t="s">
        <v>793</v>
      </c>
      <c r="K85" s="443">
        <v>2</v>
      </c>
      <c r="L85" s="458"/>
      <c r="M85" s="137">
        <f t="shared" ref="M85:M89" si="29">K85</f>
        <v>2</v>
      </c>
      <c r="N85" s="164">
        <v>1</v>
      </c>
      <c r="O85" s="438"/>
      <c r="P85" s="87">
        <f t="shared" ref="P85:P92" si="30">M85-N85</f>
        <v>1</v>
      </c>
      <c r="Q85" s="712">
        <f t="shared" si="3"/>
        <v>1</v>
      </c>
    </row>
    <row r="86" spans="1:17" s="9" customFormat="1" ht="25.5" customHeight="1" x14ac:dyDescent="0.25">
      <c r="A86" s="78"/>
      <c r="B86" s="379"/>
      <c r="C86" s="825"/>
      <c r="D86" s="552">
        <v>45407</v>
      </c>
      <c r="E86" s="428" t="s">
        <v>50</v>
      </c>
      <c r="F86" s="702"/>
      <c r="G86" s="351">
        <v>45349</v>
      </c>
      <c r="H86" s="328"/>
      <c r="I86" s="338" t="s">
        <v>794</v>
      </c>
      <c r="J86" s="335" t="s">
        <v>795</v>
      </c>
      <c r="K86" s="443">
        <v>8</v>
      </c>
      <c r="L86" s="458"/>
      <c r="M86" s="137">
        <f t="shared" si="29"/>
        <v>8</v>
      </c>
      <c r="N86" s="164"/>
      <c r="O86" s="438"/>
      <c r="P86" s="87">
        <f t="shared" si="30"/>
        <v>8</v>
      </c>
      <c r="Q86" s="712">
        <f t="shared" si="3"/>
        <v>0</v>
      </c>
    </row>
    <row r="87" spans="1:17" s="9" customFormat="1" ht="25.5" customHeight="1" x14ac:dyDescent="0.25">
      <c r="A87" s="78"/>
      <c r="B87" s="379"/>
      <c r="C87" s="825"/>
      <c r="D87" s="552">
        <v>45407</v>
      </c>
      <c r="E87" s="428" t="s">
        <v>50</v>
      </c>
      <c r="F87" s="702"/>
      <c r="G87" s="351">
        <v>45349</v>
      </c>
      <c r="H87" s="328"/>
      <c r="I87" s="338" t="s">
        <v>796</v>
      </c>
      <c r="J87" s="335" t="s">
        <v>797</v>
      </c>
      <c r="K87" s="443">
        <v>1</v>
      </c>
      <c r="L87" s="458"/>
      <c r="M87" s="137">
        <f t="shared" si="29"/>
        <v>1</v>
      </c>
      <c r="N87" s="164"/>
      <c r="O87" s="438"/>
      <c r="P87" s="87">
        <f t="shared" si="30"/>
        <v>1</v>
      </c>
      <c r="Q87" s="712">
        <f t="shared" si="3"/>
        <v>0</v>
      </c>
    </row>
    <row r="88" spans="1:17" s="9" customFormat="1" ht="25.5" customHeight="1" x14ac:dyDescent="0.25">
      <c r="A88" s="78"/>
      <c r="B88" s="379"/>
      <c r="C88" s="825"/>
      <c r="D88" s="552">
        <v>45407</v>
      </c>
      <c r="E88" s="428" t="s">
        <v>50</v>
      </c>
      <c r="F88" s="702"/>
      <c r="G88" s="351">
        <v>45349</v>
      </c>
      <c r="H88" s="328"/>
      <c r="I88" s="338" t="s">
        <v>798</v>
      </c>
      <c r="J88" s="335" t="s">
        <v>799</v>
      </c>
      <c r="K88" s="443">
        <v>6</v>
      </c>
      <c r="L88" s="458"/>
      <c r="M88" s="137">
        <f t="shared" si="29"/>
        <v>6</v>
      </c>
      <c r="N88" s="164">
        <v>1</v>
      </c>
      <c r="O88" s="438"/>
      <c r="P88" s="87">
        <f t="shared" si="30"/>
        <v>5</v>
      </c>
      <c r="Q88" s="712">
        <f t="shared" si="3"/>
        <v>1</v>
      </c>
    </row>
    <row r="89" spans="1:17" s="9" customFormat="1" ht="25.5" customHeight="1" x14ac:dyDescent="0.25">
      <c r="A89" s="78"/>
      <c r="B89" s="379"/>
      <c r="C89" s="825"/>
      <c r="D89" s="552">
        <v>45407</v>
      </c>
      <c r="E89" s="428" t="s">
        <v>50</v>
      </c>
      <c r="F89" s="702"/>
      <c r="G89" s="351">
        <v>45349</v>
      </c>
      <c r="H89" s="328"/>
      <c r="I89" s="338" t="s">
        <v>800</v>
      </c>
      <c r="J89" s="335" t="s">
        <v>801</v>
      </c>
      <c r="K89" s="443">
        <v>1</v>
      </c>
      <c r="L89" s="458"/>
      <c r="M89" s="137">
        <f t="shared" si="29"/>
        <v>1</v>
      </c>
      <c r="N89" s="164">
        <v>1</v>
      </c>
      <c r="O89" s="438"/>
      <c r="P89" s="87">
        <f t="shared" si="30"/>
        <v>0</v>
      </c>
      <c r="Q89" s="712">
        <f t="shared" si="3"/>
        <v>1</v>
      </c>
    </row>
    <row r="90" spans="1:17" s="9" customFormat="1" ht="25.5" customHeight="1" x14ac:dyDescent="0.25">
      <c r="A90" s="78"/>
      <c r="B90" s="379"/>
      <c r="C90" s="829"/>
      <c r="D90" s="552">
        <v>45407</v>
      </c>
      <c r="E90" s="428" t="s">
        <v>50</v>
      </c>
      <c r="F90" s="702"/>
      <c r="G90" s="351">
        <v>45349</v>
      </c>
      <c r="H90" s="328"/>
      <c r="I90" s="338" t="s">
        <v>802</v>
      </c>
      <c r="J90" s="335" t="s">
        <v>803</v>
      </c>
      <c r="K90" s="443">
        <v>4</v>
      </c>
      <c r="L90" s="458"/>
      <c r="M90" s="137">
        <v>2</v>
      </c>
      <c r="N90" s="164">
        <f>1+1</f>
        <v>2</v>
      </c>
      <c r="O90" s="438"/>
      <c r="P90" s="87">
        <f t="shared" si="30"/>
        <v>0</v>
      </c>
      <c r="Q90" s="712">
        <f t="shared" si="3"/>
        <v>2</v>
      </c>
    </row>
    <row r="91" spans="1:17" s="9" customFormat="1" ht="25.5" customHeight="1" x14ac:dyDescent="0.25">
      <c r="A91" s="78"/>
      <c r="B91" s="379"/>
      <c r="C91" s="727"/>
      <c r="D91" s="552"/>
      <c r="E91" s="428" t="s">
        <v>112</v>
      </c>
      <c r="F91" s="702"/>
      <c r="G91" s="351"/>
      <c r="H91" s="328"/>
      <c r="I91" s="338" t="s">
        <v>917</v>
      </c>
      <c r="J91" s="335" t="s">
        <v>916</v>
      </c>
      <c r="K91" s="443">
        <v>8</v>
      </c>
      <c r="L91" s="458"/>
      <c r="M91" s="137">
        <f>K91</f>
        <v>8</v>
      </c>
      <c r="N91" s="442">
        <v>8</v>
      </c>
      <c r="O91" s="438"/>
      <c r="P91" s="87">
        <f t="shared" si="30"/>
        <v>0</v>
      </c>
      <c r="Q91" s="712"/>
    </row>
    <row r="92" spans="1:17" s="9" customFormat="1" ht="25.5" customHeight="1" x14ac:dyDescent="0.25">
      <c r="A92" s="78"/>
      <c r="B92" s="379"/>
      <c r="C92" s="727" t="s">
        <v>930</v>
      </c>
      <c r="D92" s="552"/>
      <c r="E92" s="428" t="s">
        <v>112</v>
      </c>
      <c r="F92" s="702"/>
      <c r="G92" s="351">
        <v>45390</v>
      </c>
      <c r="H92" s="328"/>
      <c r="I92" s="338" t="s">
        <v>931</v>
      </c>
      <c r="J92" s="335" t="s">
        <v>916</v>
      </c>
      <c r="K92" s="443">
        <v>16</v>
      </c>
      <c r="L92" s="458"/>
      <c r="M92" s="137">
        <f>K92</f>
        <v>16</v>
      </c>
      <c r="N92" s="442">
        <v>16</v>
      </c>
      <c r="O92" s="438"/>
      <c r="P92" s="87">
        <f t="shared" si="30"/>
        <v>0</v>
      </c>
      <c r="Q92" s="712"/>
    </row>
    <row r="93" spans="1:17" s="9" customFormat="1" ht="31.5" customHeight="1" x14ac:dyDescent="0.25">
      <c r="A93" s="78"/>
      <c r="B93" s="379"/>
      <c r="C93" s="726" t="s">
        <v>914</v>
      </c>
      <c r="D93" s="552" t="s">
        <v>913</v>
      </c>
      <c r="E93" s="428" t="s">
        <v>910</v>
      </c>
      <c r="F93" s="702"/>
      <c r="G93" s="351">
        <v>304</v>
      </c>
      <c r="H93" s="328"/>
      <c r="I93" s="338" t="s">
        <v>911</v>
      </c>
      <c r="J93" s="335" t="s">
        <v>912</v>
      </c>
      <c r="K93" s="443">
        <v>2</v>
      </c>
      <c r="L93" s="458"/>
      <c r="M93" s="137">
        <f>K93</f>
        <v>2</v>
      </c>
      <c r="N93" s="164">
        <v>1</v>
      </c>
      <c r="O93" s="438"/>
      <c r="P93" s="87">
        <f t="shared" ref="P93" si="31">M93-N93</f>
        <v>1</v>
      </c>
      <c r="Q93" s="712"/>
    </row>
    <row r="94" spans="1:17" s="56" customFormat="1" ht="17.25" customHeight="1" x14ac:dyDescent="0.25">
      <c r="A94" s="41"/>
      <c r="B94" s="462" t="s">
        <v>82</v>
      </c>
      <c r="C94" s="639"/>
      <c r="D94" s="44"/>
      <c r="E94" s="45"/>
      <c r="F94" s="46"/>
      <c r="G94" s="47"/>
      <c r="H94" s="48"/>
      <c r="I94" s="49"/>
      <c r="J94" s="50"/>
      <c r="K94" s="51"/>
      <c r="L94" s="53"/>
      <c r="M94" s="54"/>
      <c r="N94" s="55"/>
      <c r="O94" s="53"/>
      <c r="P94" s="54"/>
      <c r="Q94" s="712">
        <f t="shared" ref="Q94:Q152" si="32">M94-P94</f>
        <v>0</v>
      </c>
    </row>
    <row r="95" spans="1:17" s="9" customFormat="1" ht="29.25" customHeight="1" x14ac:dyDescent="0.25">
      <c r="A95" s="89"/>
      <c r="B95" s="379"/>
      <c r="C95" s="800" t="s">
        <v>113</v>
      </c>
      <c r="D95" s="519"/>
      <c r="E95" s="428" t="s">
        <v>112</v>
      </c>
      <c r="F95" s="520"/>
      <c r="G95" s="108">
        <v>44755</v>
      </c>
      <c r="H95" s="457"/>
      <c r="I95" s="338" t="s">
        <v>114</v>
      </c>
      <c r="J95" s="335" t="s">
        <v>117</v>
      </c>
      <c r="K95" s="443">
        <v>1</v>
      </c>
      <c r="L95" s="458"/>
      <c r="M95" s="137">
        <f t="shared" ref="M95:M97" si="33">K95</f>
        <v>1</v>
      </c>
      <c r="N95" s="164"/>
      <c r="O95" s="438"/>
      <c r="P95" s="87">
        <f t="shared" ref="P95:P97" si="34">M95-N95</f>
        <v>1</v>
      </c>
      <c r="Q95" s="712">
        <f t="shared" si="32"/>
        <v>0</v>
      </c>
    </row>
    <row r="96" spans="1:17" s="9" customFormat="1" ht="35.25" customHeight="1" x14ac:dyDescent="0.25">
      <c r="A96" s="89"/>
      <c r="B96" s="379"/>
      <c r="C96" s="800"/>
      <c r="D96" s="473"/>
      <c r="E96" s="428" t="s">
        <v>112</v>
      </c>
      <c r="F96" s="456"/>
      <c r="G96" s="390">
        <v>44755</v>
      </c>
      <c r="H96" s="457"/>
      <c r="I96" s="338" t="s">
        <v>115</v>
      </c>
      <c r="J96" s="335" t="s">
        <v>118</v>
      </c>
      <c r="K96" s="443">
        <v>1</v>
      </c>
      <c r="L96" s="458"/>
      <c r="M96" s="137">
        <f t="shared" si="33"/>
        <v>1</v>
      </c>
      <c r="N96" s="164"/>
      <c r="O96" s="438"/>
      <c r="P96" s="87">
        <f t="shared" si="34"/>
        <v>1</v>
      </c>
      <c r="Q96" s="712">
        <f t="shared" si="32"/>
        <v>0</v>
      </c>
    </row>
    <row r="97" spans="1:17" s="9" customFormat="1" ht="37.5" customHeight="1" x14ac:dyDescent="0.25">
      <c r="A97" s="89"/>
      <c r="B97" s="379"/>
      <c r="C97" s="801"/>
      <c r="D97" s="473"/>
      <c r="E97" s="428" t="s">
        <v>112</v>
      </c>
      <c r="F97" s="456"/>
      <c r="G97" s="390">
        <v>44755</v>
      </c>
      <c r="H97" s="457"/>
      <c r="I97" s="338" t="s">
        <v>116</v>
      </c>
      <c r="J97" s="335" t="s">
        <v>119</v>
      </c>
      <c r="K97" s="443">
        <v>1</v>
      </c>
      <c r="L97" s="458"/>
      <c r="M97" s="137">
        <f t="shared" si="33"/>
        <v>1</v>
      </c>
      <c r="N97" s="164"/>
      <c r="O97" s="438"/>
      <c r="P97" s="87">
        <f t="shared" si="34"/>
        <v>1</v>
      </c>
      <c r="Q97" s="712">
        <f t="shared" si="32"/>
        <v>0</v>
      </c>
    </row>
    <row r="98" spans="1:17" s="9" customFormat="1" ht="16.5" customHeight="1" x14ac:dyDescent="0.25">
      <c r="A98" s="97"/>
      <c r="B98" s="369" t="s">
        <v>231</v>
      </c>
      <c r="C98" s="642"/>
      <c r="D98" s="98"/>
      <c r="E98" s="99"/>
      <c r="F98" s="100"/>
      <c r="G98" s="101"/>
      <c r="H98" s="102"/>
      <c r="I98" s="103"/>
      <c r="J98" s="105"/>
      <c r="K98" s="106"/>
      <c r="L98" s="53"/>
      <c r="M98" s="54"/>
      <c r="N98" s="55"/>
      <c r="O98" s="53"/>
      <c r="P98" s="54"/>
      <c r="Q98" s="712">
        <f t="shared" si="32"/>
        <v>0</v>
      </c>
    </row>
    <row r="99" spans="1:17" s="9" customFormat="1" ht="26.4" x14ac:dyDescent="0.25">
      <c r="A99" s="89"/>
      <c r="B99" s="379"/>
      <c r="C99" s="802" t="s">
        <v>489</v>
      </c>
      <c r="D99" s="473">
        <v>44995</v>
      </c>
      <c r="E99" s="365" t="s">
        <v>60</v>
      </c>
      <c r="F99" s="456"/>
      <c r="G99" s="390">
        <v>45212</v>
      </c>
      <c r="H99" s="457"/>
      <c r="I99" s="338" t="s">
        <v>487</v>
      </c>
      <c r="J99" s="335" t="s">
        <v>485</v>
      </c>
      <c r="K99" s="443">
        <v>2</v>
      </c>
      <c r="L99" s="458"/>
      <c r="M99" s="137">
        <v>2</v>
      </c>
      <c r="N99" s="442">
        <v>2</v>
      </c>
      <c r="O99" s="438"/>
      <c r="P99" s="87">
        <f t="shared" ref="P99:P100" si="35">M99-N99</f>
        <v>0</v>
      </c>
      <c r="Q99" s="712">
        <f t="shared" si="32"/>
        <v>2</v>
      </c>
    </row>
    <row r="100" spans="1:17" s="9" customFormat="1" ht="26.4" x14ac:dyDescent="0.25">
      <c r="A100" s="89"/>
      <c r="B100" s="379"/>
      <c r="C100" s="803"/>
      <c r="D100" s="473">
        <v>44995</v>
      </c>
      <c r="E100" s="508" t="s">
        <v>60</v>
      </c>
      <c r="F100" s="456"/>
      <c r="G100" s="390">
        <v>45212</v>
      </c>
      <c r="H100" s="457"/>
      <c r="I100" s="338" t="s">
        <v>488</v>
      </c>
      <c r="J100" s="335" t="s">
        <v>486</v>
      </c>
      <c r="K100" s="443">
        <v>2</v>
      </c>
      <c r="L100" s="458"/>
      <c r="M100" s="137">
        <v>2</v>
      </c>
      <c r="N100" s="442">
        <v>2</v>
      </c>
      <c r="O100" s="438"/>
      <c r="P100" s="87">
        <f t="shared" si="35"/>
        <v>0</v>
      </c>
      <c r="Q100" s="712">
        <f t="shared" si="32"/>
        <v>2</v>
      </c>
    </row>
    <row r="101" spans="1:17" s="9" customFormat="1" ht="16.5" customHeight="1" x14ac:dyDescent="0.25">
      <c r="A101" s="97"/>
      <c r="B101" s="330" t="s">
        <v>61</v>
      </c>
      <c r="C101" s="642"/>
      <c r="D101" s="98"/>
      <c r="E101" s="99"/>
      <c r="F101" s="569">
        <f>SUM(F102:F102)</f>
        <v>0</v>
      </c>
      <c r="G101" s="101"/>
      <c r="H101" s="102"/>
      <c r="I101" s="103"/>
      <c r="J101" s="105"/>
      <c r="K101" s="106"/>
      <c r="L101" s="111"/>
      <c r="M101" s="112"/>
      <c r="N101" s="52"/>
      <c r="O101" s="111"/>
      <c r="P101" s="52"/>
      <c r="Q101" s="712">
        <f t="shared" si="32"/>
        <v>0</v>
      </c>
    </row>
    <row r="102" spans="1:17" s="1" customFormat="1" ht="41.25" customHeight="1" x14ac:dyDescent="0.25">
      <c r="A102" s="333"/>
      <c r="B102" s="377"/>
      <c r="C102" s="470" t="s">
        <v>418</v>
      </c>
      <c r="D102" s="436">
        <v>45280</v>
      </c>
      <c r="E102" s="428" t="s">
        <v>50</v>
      </c>
      <c r="F102" s="570" t="s">
        <v>505</v>
      </c>
      <c r="G102" s="437">
        <v>44413</v>
      </c>
      <c r="H102" s="421"/>
      <c r="I102" s="338" t="s">
        <v>86</v>
      </c>
      <c r="J102" s="447" t="s">
        <v>526</v>
      </c>
      <c r="K102" s="454">
        <v>40</v>
      </c>
      <c r="L102" s="420"/>
      <c r="M102" s="137">
        <f>K102</f>
        <v>40</v>
      </c>
      <c r="N102" s="442"/>
      <c r="O102" s="438"/>
      <c r="P102" s="87">
        <f t="shared" ref="P102:P108" si="36">M102-N102</f>
        <v>40</v>
      </c>
      <c r="Q102" s="712">
        <f t="shared" si="32"/>
        <v>0</v>
      </c>
    </row>
    <row r="103" spans="1:17" s="9" customFormat="1" ht="30.75" customHeight="1" x14ac:dyDescent="0.25">
      <c r="A103" s="78"/>
      <c r="B103" s="79"/>
      <c r="C103" s="547" t="s">
        <v>418</v>
      </c>
      <c r="D103" s="436">
        <v>45240</v>
      </c>
      <c r="E103" s="428" t="s">
        <v>50</v>
      </c>
      <c r="F103" s="524"/>
      <c r="G103" s="390">
        <v>45182</v>
      </c>
      <c r="H103" s="525"/>
      <c r="I103" s="468" t="s">
        <v>407</v>
      </c>
      <c r="J103" s="335" t="s">
        <v>316</v>
      </c>
      <c r="K103" s="443">
        <v>1</v>
      </c>
      <c r="L103" s="526"/>
      <c r="M103" s="137">
        <f t="shared" ref="M103:M108" si="37">K103</f>
        <v>1</v>
      </c>
      <c r="N103" s="442"/>
      <c r="O103" s="438"/>
      <c r="P103" s="137">
        <f t="shared" si="36"/>
        <v>1</v>
      </c>
      <c r="Q103" s="712">
        <f t="shared" si="32"/>
        <v>0</v>
      </c>
    </row>
    <row r="104" spans="1:17" s="9" customFormat="1" ht="30.75" customHeight="1" x14ac:dyDescent="0.25">
      <c r="A104" s="78"/>
      <c r="B104" s="79"/>
      <c r="C104" s="547" t="s">
        <v>570</v>
      </c>
      <c r="D104" s="436">
        <v>45250</v>
      </c>
      <c r="E104" s="428" t="s">
        <v>50</v>
      </c>
      <c r="F104" s="524"/>
      <c r="G104" s="390">
        <v>45246</v>
      </c>
      <c r="H104" s="525"/>
      <c r="I104" s="468" t="s">
        <v>571</v>
      </c>
      <c r="J104" s="335" t="s">
        <v>569</v>
      </c>
      <c r="K104" s="443">
        <v>2</v>
      </c>
      <c r="L104" s="526"/>
      <c r="M104" s="137">
        <f t="shared" si="37"/>
        <v>2</v>
      </c>
      <c r="N104" s="442"/>
      <c r="O104" s="438"/>
      <c r="P104" s="137">
        <f t="shared" si="36"/>
        <v>2</v>
      </c>
      <c r="Q104" s="712">
        <f t="shared" si="32"/>
        <v>0</v>
      </c>
    </row>
    <row r="105" spans="1:17" s="9" customFormat="1" ht="30.75" customHeight="1" x14ac:dyDescent="0.25">
      <c r="A105" s="78"/>
      <c r="B105" s="79"/>
      <c r="C105" s="547" t="s">
        <v>570</v>
      </c>
      <c r="D105" s="436">
        <v>45250</v>
      </c>
      <c r="E105" s="428" t="s">
        <v>50</v>
      </c>
      <c r="F105" s="524"/>
      <c r="G105" s="390">
        <v>45246</v>
      </c>
      <c r="H105" s="525"/>
      <c r="I105" s="468" t="s">
        <v>572</v>
      </c>
      <c r="J105" s="335" t="s">
        <v>573</v>
      </c>
      <c r="K105" s="443">
        <v>2</v>
      </c>
      <c r="L105" s="526"/>
      <c r="M105" s="137">
        <f t="shared" si="37"/>
        <v>2</v>
      </c>
      <c r="N105" s="442"/>
      <c r="O105" s="438"/>
      <c r="P105" s="137">
        <f t="shared" si="36"/>
        <v>2</v>
      </c>
      <c r="Q105" s="712">
        <f t="shared" si="32"/>
        <v>0</v>
      </c>
    </row>
    <row r="106" spans="1:17" s="9" customFormat="1" ht="26.25" customHeight="1" x14ac:dyDescent="0.25">
      <c r="A106" s="78"/>
      <c r="B106" s="79"/>
      <c r="C106" s="547" t="s">
        <v>575</v>
      </c>
      <c r="D106" s="436">
        <v>44951</v>
      </c>
      <c r="E106" s="428" t="s">
        <v>50</v>
      </c>
      <c r="F106" s="524"/>
      <c r="G106" s="390">
        <v>45250</v>
      </c>
      <c r="H106" s="525"/>
      <c r="I106" s="468" t="s">
        <v>574</v>
      </c>
      <c r="J106" s="335" t="s">
        <v>292</v>
      </c>
      <c r="K106" s="443">
        <v>8</v>
      </c>
      <c r="L106" s="526"/>
      <c r="M106" s="137">
        <v>4</v>
      </c>
      <c r="N106" s="442"/>
      <c r="O106" s="438"/>
      <c r="P106" s="137">
        <f t="shared" si="36"/>
        <v>4</v>
      </c>
      <c r="Q106" s="712">
        <f t="shared" si="32"/>
        <v>0</v>
      </c>
    </row>
    <row r="107" spans="1:17" s="9" customFormat="1" ht="32.25" customHeight="1" x14ac:dyDescent="0.25">
      <c r="A107" s="78"/>
      <c r="B107" s="79"/>
      <c r="C107" s="547" t="s">
        <v>424</v>
      </c>
      <c r="D107" s="436">
        <v>45261</v>
      </c>
      <c r="E107" s="428" t="s">
        <v>50</v>
      </c>
      <c r="F107" s="524"/>
      <c r="G107" s="390">
        <v>45189</v>
      </c>
      <c r="H107" s="525"/>
      <c r="I107" s="468" t="s">
        <v>425</v>
      </c>
      <c r="J107" s="335" t="s">
        <v>315</v>
      </c>
      <c r="K107" s="443">
        <v>8</v>
      </c>
      <c r="L107" s="526"/>
      <c r="M107" s="137">
        <f t="shared" si="37"/>
        <v>8</v>
      </c>
      <c r="N107" s="442"/>
      <c r="O107" s="438"/>
      <c r="P107" s="137">
        <f t="shared" si="36"/>
        <v>8</v>
      </c>
      <c r="Q107" s="712">
        <f t="shared" si="32"/>
        <v>0</v>
      </c>
    </row>
    <row r="108" spans="1:17" s="9" customFormat="1" ht="32.25" customHeight="1" x14ac:dyDescent="0.25">
      <c r="A108" s="78"/>
      <c r="B108" s="79"/>
      <c r="C108" s="514" t="s">
        <v>309</v>
      </c>
      <c r="D108" s="436">
        <v>45117</v>
      </c>
      <c r="E108" s="428" t="s">
        <v>50</v>
      </c>
      <c r="F108" s="524"/>
      <c r="G108" s="390">
        <v>45086</v>
      </c>
      <c r="H108" s="525"/>
      <c r="I108" s="468" t="s">
        <v>293</v>
      </c>
      <c r="J108" s="335" t="s">
        <v>292</v>
      </c>
      <c r="K108" s="443">
        <v>4</v>
      </c>
      <c r="L108" s="526"/>
      <c r="M108" s="137">
        <f t="shared" si="37"/>
        <v>4</v>
      </c>
      <c r="N108" s="442"/>
      <c r="O108" s="438"/>
      <c r="P108" s="137">
        <f t="shared" si="36"/>
        <v>4</v>
      </c>
      <c r="Q108" s="712">
        <f t="shared" si="32"/>
        <v>0</v>
      </c>
    </row>
    <row r="109" spans="1:17" s="9" customFormat="1" ht="39.75" customHeight="1" x14ac:dyDescent="0.25">
      <c r="A109" s="78"/>
      <c r="B109" s="79"/>
      <c r="C109" s="804" t="s">
        <v>964</v>
      </c>
      <c r="D109" s="436"/>
      <c r="E109" s="428" t="s">
        <v>50</v>
      </c>
      <c r="F109" s="524"/>
      <c r="G109" s="390">
        <v>45397</v>
      </c>
      <c r="H109" s="525"/>
      <c r="I109" s="468" t="s">
        <v>948</v>
      </c>
      <c r="J109" s="335" t="s">
        <v>937</v>
      </c>
      <c r="K109" s="443">
        <v>1</v>
      </c>
      <c r="L109" s="526"/>
      <c r="M109" s="137">
        <f t="shared" ref="M109:M123" si="38">K109</f>
        <v>1</v>
      </c>
      <c r="N109" s="442"/>
      <c r="O109" s="438"/>
      <c r="P109" s="137">
        <f t="shared" ref="P109:P123" si="39">M109-N109</f>
        <v>1</v>
      </c>
      <c r="Q109" s="712"/>
    </row>
    <row r="110" spans="1:17" s="9" customFormat="1" ht="38.25" customHeight="1" x14ac:dyDescent="0.25">
      <c r="A110" s="78"/>
      <c r="B110" s="79"/>
      <c r="C110" s="805"/>
      <c r="D110" s="436"/>
      <c r="E110" s="428" t="s">
        <v>50</v>
      </c>
      <c r="F110" s="524"/>
      <c r="G110" s="390">
        <v>45397</v>
      </c>
      <c r="H110" s="525"/>
      <c r="I110" s="468" t="s">
        <v>949</v>
      </c>
      <c r="J110" s="335" t="s">
        <v>941</v>
      </c>
      <c r="K110" s="443">
        <v>1</v>
      </c>
      <c r="L110" s="526"/>
      <c r="M110" s="137">
        <f t="shared" si="38"/>
        <v>1</v>
      </c>
      <c r="N110" s="442"/>
      <c r="O110" s="438"/>
      <c r="P110" s="137">
        <f t="shared" si="39"/>
        <v>1</v>
      </c>
      <c r="Q110" s="712"/>
    </row>
    <row r="111" spans="1:17" s="9" customFormat="1" ht="32.25" customHeight="1" x14ac:dyDescent="0.25">
      <c r="A111" s="78"/>
      <c r="B111" s="79"/>
      <c r="C111" s="805"/>
      <c r="D111" s="436"/>
      <c r="E111" s="428" t="s">
        <v>50</v>
      </c>
      <c r="F111" s="524"/>
      <c r="G111" s="390">
        <v>45397</v>
      </c>
      <c r="H111" s="525"/>
      <c r="I111" s="468" t="s">
        <v>950</v>
      </c>
      <c r="J111" s="335" t="s">
        <v>941</v>
      </c>
      <c r="K111" s="443">
        <v>1</v>
      </c>
      <c r="L111" s="526"/>
      <c r="M111" s="137">
        <f t="shared" si="38"/>
        <v>1</v>
      </c>
      <c r="N111" s="442"/>
      <c r="O111" s="438"/>
      <c r="P111" s="137">
        <f t="shared" si="39"/>
        <v>1</v>
      </c>
      <c r="Q111" s="712"/>
    </row>
    <row r="112" spans="1:17" s="9" customFormat="1" ht="33.75" customHeight="1" x14ac:dyDescent="0.25">
      <c r="A112" s="78"/>
      <c r="B112" s="79"/>
      <c r="C112" s="805"/>
      <c r="D112" s="436"/>
      <c r="E112" s="428" t="s">
        <v>50</v>
      </c>
      <c r="F112" s="524"/>
      <c r="G112" s="390">
        <v>45397</v>
      </c>
      <c r="H112" s="525"/>
      <c r="I112" s="468" t="s">
        <v>951</v>
      </c>
      <c r="J112" s="335" t="s">
        <v>942</v>
      </c>
      <c r="K112" s="443">
        <v>2</v>
      </c>
      <c r="L112" s="526"/>
      <c r="M112" s="137">
        <f t="shared" si="38"/>
        <v>2</v>
      </c>
      <c r="N112" s="442"/>
      <c r="O112" s="438"/>
      <c r="P112" s="137">
        <f t="shared" si="39"/>
        <v>2</v>
      </c>
      <c r="Q112" s="712"/>
    </row>
    <row r="113" spans="1:17" s="9" customFormat="1" ht="44.25" customHeight="1" x14ac:dyDescent="0.25">
      <c r="A113" s="78"/>
      <c r="B113" s="79"/>
      <c r="C113" s="805"/>
      <c r="D113" s="436"/>
      <c r="E113" s="428" t="s">
        <v>50</v>
      </c>
      <c r="F113" s="524"/>
      <c r="G113" s="390">
        <v>45397</v>
      </c>
      <c r="H113" s="525"/>
      <c r="I113" s="468" t="s">
        <v>952</v>
      </c>
      <c r="J113" s="335" t="s">
        <v>943</v>
      </c>
      <c r="K113" s="443">
        <v>2</v>
      </c>
      <c r="L113" s="526"/>
      <c r="M113" s="137">
        <f t="shared" si="38"/>
        <v>2</v>
      </c>
      <c r="N113" s="442"/>
      <c r="O113" s="438"/>
      <c r="P113" s="137">
        <f t="shared" si="39"/>
        <v>2</v>
      </c>
      <c r="Q113" s="712"/>
    </row>
    <row r="114" spans="1:17" s="9" customFormat="1" ht="39" customHeight="1" x14ac:dyDescent="0.25">
      <c r="A114" s="78"/>
      <c r="B114" s="79"/>
      <c r="C114" s="805"/>
      <c r="D114" s="436"/>
      <c r="E114" s="428" t="s">
        <v>50</v>
      </c>
      <c r="F114" s="524"/>
      <c r="G114" s="390">
        <v>45397</v>
      </c>
      <c r="H114" s="525"/>
      <c r="I114" s="468" t="s">
        <v>953</v>
      </c>
      <c r="J114" s="335" t="s">
        <v>944</v>
      </c>
      <c r="K114" s="443">
        <v>6</v>
      </c>
      <c r="L114" s="526"/>
      <c r="M114" s="137">
        <f t="shared" si="38"/>
        <v>6</v>
      </c>
      <c r="N114" s="442"/>
      <c r="O114" s="438"/>
      <c r="P114" s="137">
        <f t="shared" si="39"/>
        <v>6</v>
      </c>
      <c r="Q114" s="712"/>
    </row>
    <row r="115" spans="1:17" s="9" customFormat="1" ht="45.75" customHeight="1" x14ac:dyDescent="0.25">
      <c r="A115" s="78"/>
      <c r="B115" s="79"/>
      <c r="C115" s="805"/>
      <c r="D115" s="436"/>
      <c r="E115" s="428" t="s">
        <v>50</v>
      </c>
      <c r="F115" s="524"/>
      <c r="G115" s="390">
        <v>45397</v>
      </c>
      <c r="H115" s="525"/>
      <c r="I115" s="468" t="s">
        <v>953</v>
      </c>
      <c r="J115" s="335" t="s">
        <v>944</v>
      </c>
      <c r="K115" s="443">
        <v>6</v>
      </c>
      <c r="L115" s="526"/>
      <c r="M115" s="137">
        <f t="shared" si="38"/>
        <v>6</v>
      </c>
      <c r="N115" s="442"/>
      <c r="O115" s="438"/>
      <c r="P115" s="137">
        <f t="shared" si="39"/>
        <v>6</v>
      </c>
      <c r="Q115" s="712"/>
    </row>
    <row r="116" spans="1:17" s="9" customFormat="1" ht="21" customHeight="1" x14ac:dyDescent="0.25">
      <c r="A116" s="78"/>
      <c r="B116" s="79"/>
      <c r="C116" s="805"/>
      <c r="D116" s="436"/>
      <c r="E116" s="428" t="s">
        <v>50</v>
      </c>
      <c r="F116" s="524"/>
      <c r="G116" s="390">
        <v>45397</v>
      </c>
      <c r="H116" s="525"/>
      <c r="I116" s="468" t="s">
        <v>954</v>
      </c>
      <c r="J116" s="335" t="s">
        <v>938</v>
      </c>
      <c r="K116" s="443">
        <v>15</v>
      </c>
      <c r="L116" s="526"/>
      <c r="M116" s="137">
        <f t="shared" si="38"/>
        <v>15</v>
      </c>
      <c r="N116" s="442"/>
      <c r="O116" s="438"/>
      <c r="P116" s="137">
        <f t="shared" si="39"/>
        <v>15</v>
      </c>
      <c r="Q116" s="712"/>
    </row>
    <row r="117" spans="1:17" s="9" customFormat="1" ht="25.5" customHeight="1" x14ac:dyDescent="0.25">
      <c r="A117" s="78"/>
      <c r="B117" s="79"/>
      <c r="C117" s="805"/>
      <c r="D117" s="436"/>
      <c r="E117" s="428" t="s">
        <v>50</v>
      </c>
      <c r="F117" s="524"/>
      <c r="G117" s="390">
        <v>45397</v>
      </c>
      <c r="H117" s="525"/>
      <c r="I117" s="468" t="s">
        <v>955</v>
      </c>
      <c r="J117" s="335" t="s">
        <v>939</v>
      </c>
      <c r="K117" s="443">
        <v>5</v>
      </c>
      <c r="L117" s="526"/>
      <c r="M117" s="137">
        <f t="shared" si="38"/>
        <v>5</v>
      </c>
      <c r="N117" s="442"/>
      <c r="O117" s="438"/>
      <c r="P117" s="137">
        <f t="shared" si="39"/>
        <v>5</v>
      </c>
      <c r="Q117" s="712"/>
    </row>
    <row r="118" spans="1:17" s="9" customFormat="1" ht="66" customHeight="1" x14ac:dyDescent="0.25">
      <c r="A118" s="78"/>
      <c r="B118" s="79"/>
      <c r="C118" s="805"/>
      <c r="D118" s="436"/>
      <c r="E118" s="428" t="s">
        <v>50</v>
      </c>
      <c r="F118" s="524"/>
      <c r="G118" s="390">
        <v>45397</v>
      </c>
      <c r="H118" s="525"/>
      <c r="I118" s="468" t="s">
        <v>956</v>
      </c>
      <c r="J118" s="734" t="s">
        <v>940</v>
      </c>
      <c r="K118" s="443">
        <v>1</v>
      </c>
      <c r="L118" s="526"/>
      <c r="M118" s="137">
        <f t="shared" si="38"/>
        <v>1</v>
      </c>
      <c r="N118" s="442"/>
      <c r="O118" s="438"/>
      <c r="P118" s="137">
        <f t="shared" si="39"/>
        <v>1</v>
      </c>
      <c r="Q118" s="712"/>
    </row>
    <row r="119" spans="1:17" s="9" customFormat="1" ht="56.25" customHeight="1" x14ac:dyDescent="0.25">
      <c r="A119" s="78"/>
      <c r="B119" s="79"/>
      <c r="C119" s="805"/>
      <c r="D119" s="436"/>
      <c r="E119" s="428" t="s">
        <v>50</v>
      </c>
      <c r="F119" s="524"/>
      <c r="G119" s="390">
        <v>45397</v>
      </c>
      <c r="H119" s="525"/>
      <c r="I119" s="468" t="s">
        <v>957</v>
      </c>
      <c r="J119" s="335" t="s">
        <v>945</v>
      </c>
      <c r="K119" s="443">
        <v>1</v>
      </c>
      <c r="L119" s="526"/>
      <c r="M119" s="137">
        <f t="shared" si="38"/>
        <v>1</v>
      </c>
      <c r="N119" s="442"/>
      <c r="O119" s="438"/>
      <c r="P119" s="137">
        <f t="shared" si="39"/>
        <v>1</v>
      </c>
      <c r="Q119" s="712"/>
    </row>
    <row r="120" spans="1:17" s="9" customFormat="1" ht="66" customHeight="1" x14ac:dyDescent="0.25">
      <c r="A120" s="78"/>
      <c r="B120" s="79"/>
      <c r="C120" s="805"/>
      <c r="D120" s="436"/>
      <c r="E120" s="428" t="s">
        <v>50</v>
      </c>
      <c r="F120" s="524"/>
      <c r="G120" s="390">
        <v>45397</v>
      </c>
      <c r="H120" s="525"/>
      <c r="I120" s="468" t="s">
        <v>958</v>
      </c>
      <c r="J120" s="734" t="s">
        <v>946</v>
      </c>
      <c r="K120" s="443">
        <v>1</v>
      </c>
      <c r="L120" s="526"/>
      <c r="M120" s="137">
        <f t="shared" si="38"/>
        <v>1</v>
      </c>
      <c r="N120" s="442"/>
      <c r="O120" s="438"/>
      <c r="P120" s="137">
        <f t="shared" si="39"/>
        <v>1</v>
      </c>
      <c r="Q120" s="712"/>
    </row>
    <row r="121" spans="1:17" s="9" customFormat="1" ht="53.25" customHeight="1" x14ac:dyDescent="0.25">
      <c r="A121" s="78"/>
      <c r="B121" s="79"/>
      <c r="C121" s="805"/>
      <c r="D121" s="436"/>
      <c r="E121" s="428" t="s">
        <v>50</v>
      </c>
      <c r="F121" s="524"/>
      <c r="G121" s="390">
        <v>45397</v>
      </c>
      <c r="H121" s="525"/>
      <c r="I121" s="468" t="s">
        <v>959</v>
      </c>
      <c r="J121" s="335" t="s">
        <v>963</v>
      </c>
      <c r="K121" s="443">
        <v>15</v>
      </c>
      <c r="L121" s="526"/>
      <c r="M121" s="137">
        <f t="shared" si="38"/>
        <v>15</v>
      </c>
      <c r="N121" s="442"/>
      <c r="O121" s="438"/>
      <c r="P121" s="137">
        <f t="shared" si="39"/>
        <v>15</v>
      </c>
      <c r="Q121" s="712"/>
    </row>
    <row r="122" spans="1:17" s="9" customFormat="1" ht="42.75" customHeight="1" x14ac:dyDescent="0.25">
      <c r="A122" s="78"/>
      <c r="B122" s="79"/>
      <c r="C122" s="805"/>
      <c r="D122" s="436"/>
      <c r="E122" s="428" t="s">
        <v>50</v>
      </c>
      <c r="F122" s="524"/>
      <c r="G122" s="390">
        <v>45397</v>
      </c>
      <c r="H122" s="525"/>
      <c r="I122" s="468" t="s">
        <v>960</v>
      </c>
      <c r="J122" s="335" t="s">
        <v>962</v>
      </c>
      <c r="K122" s="443">
        <v>1</v>
      </c>
      <c r="L122" s="526"/>
      <c r="M122" s="137">
        <f t="shared" si="38"/>
        <v>1</v>
      </c>
      <c r="N122" s="442"/>
      <c r="O122" s="438"/>
      <c r="P122" s="137">
        <f t="shared" si="39"/>
        <v>1</v>
      </c>
      <c r="Q122" s="712"/>
    </row>
    <row r="123" spans="1:17" s="9" customFormat="1" ht="46.5" customHeight="1" x14ac:dyDescent="0.25">
      <c r="A123" s="78"/>
      <c r="B123" s="79"/>
      <c r="C123" s="806"/>
      <c r="D123" s="436"/>
      <c r="E123" s="428" t="s">
        <v>50</v>
      </c>
      <c r="F123" s="524"/>
      <c r="G123" s="390">
        <v>45397</v>
      </c>
      <c r="H123" s="525"/>
      <c r="I123" s="468" t="s">
        <v>961</v>
      </c>
      <c r="J123" s="335" t="s">
        <v>947</v>
      </c>
      <c r="K123" s="443">
        <v>200</v>
      </c>
      <c r="L123" s="526"/>
      <c r="M123" s="137">
        <f t="shared" si="38"/>
        <v>200</v>
      </c>
      <c r="N123" s="442"/>
      <c r="O123" s="438"/>
      <c r="P123" s="137">
        <f t="shared" si="39"/>
        <v>200</v>
      </c>
      <c r="Q123" s="712"/>
    </row>
    <row r="124" spans="1:17" s="56" customFormat="1" ht="15" x14ac:dyDescent="0.25">
      <c r="A124" s="41"/>
      <c r="B124" s="334" t="s">
        <v>895</v>
      </c>
      <c r="C124" s="640"/>
      <c r="D124" s="44"/>
      <c r="E124" s="45"/>
      <c r="F124" s="46"/>
      <c r="G124" s="47"/>
      <c r="H124" s="48"/>
      <c r="I124" s="49"/>
      <c r="J124" s="50"/>
      <c r="K124" s="51"/>
      <c r="L124" s="53"/>
      <c r="M124" s="54"/>
      <c r="N124" s="55"/>
      <c r="O124" s="53"/>
      <c r="P124" s="54"/>
      <c r="Q124" s="712">
        <f t="shared" si="32"/>
        <v>0</v>
      </c>
    </row>
    <row r="125" spans="1:17" s="9" customFormat="1" ht="33.75" customHeight="1" x14ac:dyDescent="0.25">
      <c r="A125" s="89"/>
      <c r="B125" s="379"/>
      <c r="C125" s="795" t="s">
        <v>900</v>
      </c>
      <c r="D125" s="455">
        <v>45534</v>
      </c>
      <c r="E125" s="428" t="s">
        <v>60</v>
      </c>
      <c r="F125" s="456"/>
      <c r="G125" s="331">
        <v>45380</v>
      </c>
      <c r="H125" s="457"/>
      <c r="I125" s="468" t="s">
        <v>896</v>
      </c>
      <c r="J125" s="335" t="s">
        <v>897</v>
      </c>
      <c r="K125" s="443">
        <v>1</v>
      </c>
      <c r="L125" s="458"/>
      <c r="M125" s="137">
        <f t="shared" ref="M125:M126" si="40">K125</f>
        <v>1</v>
      </c>
      <c r="N125" s="433"/>
      <c r="O125" s="438"/>
      <c r="P125" s="87">
        <f t="shared" ref="P125:P126" si="41">M125-N125</f>
        <v>1</v>
      </c>
      <c r="Q125" s="712"/>
    </row>
    <row r="126" spans="1:17" s="9" customFormat="1" ht="33.75" customHeight="1" x14ac:dyDescent="0.25">
      <c r="A126" s="89"/>
      <c r="B126" s="379"/>
      <c r="C126" s="796"/>
      <c r="D126" s="455">
        <v>45534</v>
      </c>
      <c r="E126" s="428" t="s">
        <v>60</v>
      </c>
      <c r="F126" s="456"/>
      <c r="G126" s="331">
        <v>45380</v>
      </c>
      <c r="H126" s="457"/>
      <c r="I126" s="468" t="s">
        <v>898</v>
      </c>
      <c r="J126" s="335" t="s">
        <v>899</v>
      </c>
      <c r="K126" s="443">
        <v>4</v>
      </c>
      <c r="L126" s="458"/>
      <c r="M126" s="137">
        <f t="shared" si="40"/>
        <v>4</v>
      </c>
      <c r="N126" s="433"/>
      <c r="O126" s="438"/>
      <c r="P126" s="87">
        <f t="shared" si="41"/>
        <v>4</v>
      </c>
      <c r="Q126" s="712"/>
    </row>
    <row r="127" spans="1:17" s="56" customFormat="1" ht="18" customHeight="1" x14ac:dyDescent="0.25">
      <c r="A127" s="41"/>
      <c r="B127" s="330" t="s">
        <v>871</v>
      </c>
      <c r="C127" s="642"/>
      <c r="D127" s="44"/>
      <c r="E127" s="45"/>
      <c r="F127" s="46"/>
      <c r="G127" s="47"/>
      <c r="H127" s="48"/>
      <c r="I127" s="49"/>
      <c r="J127" s="50"/>
      <c r="K127" s="51"/>
      <c r="L127" s="53"/>
      <c r="M127" s="49"/>
      <c r="N127" s="55"/>
      <c r="O127" s="53"/>
      <c r="P127" s="54"/>
      <c r="Q127" s="712">
        <f t="shared" si="32"/>
        <v>0</v>
      </c>
    </row>
    <row r="128" spans="1:17" s="9" customFormat="1" ht="33.75" customHeight="1" x14ac:dyDescent="0.25">
      <c r="A128" s="89"/>
      <c r="B128" s="379"/>
      <c r="C128" s="711" t="s">
        <v>872</v>
      </c>
      <c r="D128" s="717">
        <v>45494</v>
      </c>
      <c r="E128" s="428" t="s">
        <v>103</v>
      </c>
      <c r="F128" s="456"/>
      <c r="G128" s="331">
        <v>45373</v>
      </c>
      <c r="H128" s="457"/>
      <c r="I128" s="338" t="s">
        <v>873</v>
      </c>
      <c r="J128" s="335" t="s">
        <v>874</v>
      </c>
      <c r="K128" s="443">
        <v>1</v>
      </c>
      <c r="L128" s="458"/>
      <c r="M128" s="137">
        <f t="shared" ref="M128" si="42">K128</f>
        <v>1</v>
      </c>
      <c r="N128" s="433"/>
      <c r="O128" s="438"/>
      <c r="P128" s="87">
        <f t="shared" ref="P128" si="43">M128-N128</f>
        <v>1</v>
      </c>
      <c r="Q128" s="712">
        <f t="shared" si="32"/>
        <v>0</v>
      </c>
    </row>
    <row r="129" spans="1:18" s="56" customFormat="1" ht="15" x14ac:dyDescent="0.25">
      <c r="A129" s="41"/>
      <c r="B129" s="369" t="s">
        <v>467</v>
      </c>
      <c r="C129" s="640"/>
      <c r="D129" s="44"/>
      <c r="E129" s="45"/>
      <c r="F129" s="46"/>
      <c r="G129" s="47"/>
      <c r="H129" s="48"/>
      <c r="I129" s="49"/>
      <c r="J129" s="50"/>
      <c r="K129" s="51"/>
      <c r="L129" s="53"/>
      <c r="M129" s="54"/>
      <c r="N129" s="55"/>
      <c r="O129" s="53"/>
      <c r="P129" s="54"/>
      <c r="Q129" s="712">
        <f t="shared" si="32"/>
        <v>0</v>
      </c>
    </row>
    <row r="130" spans="1:18" s="9" customFormat="1" ht="33.75" customHeight="1" x14ac:dyDescent="0.25">
      <c r="A130" s="89"/>
      <c r="B130" s="379"/>
      <c r="C130" s="711" t="s">
        <v>578</v>
      </c>
      <c r="D130" s="455">
        <v>45371</v>
      </c>
      <c r="E130" s="428" t="s">
        <v>50</v>
      </c>
      <c r="F130" s="456"/>
      <c r="G130" s="83">
        <v>45251</v>
      </c>
      <c r="H130" s="457"/>
      <c r="I130" s="338" t="s">
        <v>579</v>
      </c>
      <c r="J130" s="335" t="s">
        <v>580</v>
      </c>
      <c r="K130" s="443">
        <v>4</v>
      </c>
      <c r="L130" s="458"/>
      <c r="M130" s="137">
        <f t="shared" ref="M130" si="44">K130</f>
        <v>4</v>
      </c>
      <c r="N130" s="433"/>
      <c r="O130" s="438"/>
      <c r="P130" s="87">
        <f t="shared" ref="P130" si="45">M130-N130</f>
        <v>4</v>
      </c>
      <c r="Q130" s="712">
        <f t="shared" si="32"/>
        <v>0</v>
      </c>
    </row>
    <row r="131" spans="1:18" s="9" customFormat="1" ht="17.25" customHeight="1" x14ac:dyDescent="0.25">
      <c r="A131" s="97"/>
      <c r="B131" s="334" t="s">
        <v>53</v>
      </c>
      <c r="C131" s="642"/>
      <c r="D131" s="98"/>
      <c r="E131" s="99"/>
      <c r="F131" s="569">
        <f>SUM(F132:F168)</f>
        <v>0</v>
      </c>
      <c r="G131" s="101"/>
      <c r="H131" s="102"/>
      <c r="I131" s="103"/>
      <c r="J131" s="105"/>
      <c r="K131" s="106"/>
      <c r="L131" s="53"/>
      <c r="M131" s="54"/>
      <c r="N131" s="55"/>
      <c r="O131" s="53"/>
      <c r="P131" s="54"/>
      <c r="Q131" s="712">
        <f t="shared" si="32"/>
        <v>0</v>
      </c>
    </row>
    <row r="132" spans="1:18" s="9" customFormat="1" ht="33.75" customHeight="1" x14ac:dyDescent="0.25">
      <c r="A132" s="89"/>
      <c r="B132" s="379"/>
      <c r="C132" s="534" t="s">
        <v>158</v>
      </c>
      <c r="D132" s="455">
        <v>45066</v>
      </c>
      <c r="E132" s="428" t="s">
        <v>50</v>
      </c>
      <c r="F132" s="456"/>
      <c r="G132" s="83">
        <v>44907</v>
      </c>
      <c r="H132" s="457"/>
      <c r="I132" s="338" t="s">
        <v>157</v>
      </c>
      <c r="J132" s="335" t="s">
        <v>154</v>
      </c>
      <c r="K132" s="443">
        <v>15</v>
      </c>
      <c r="L132" s="458"/>
      <c r="M132" s="137">
        <v>13</v>
      </c>
      <c r="N132" s="433"/>
      <c r="O132" s="438"/>
      <c r="P132" s="87">
        <f t="shared" ref="P132:P173" si="46">M132-N132</f>
        <v>13</v>
      </c>
      <c r="Q132" s="712">
        <f t="shared" si="32"/>
        <v>0</v>
      </c>
    </row>
    <row r="133" spans="1:18" s="9" customFormat="1" ht="29.25" customHeight="1" x14ac:dyDescent="0.25">
      <c r="A133" s="89"/>
      <c r="B133" s="379"/>
      <c r="C133" s="509" t="s">
        <v>304</v>
      </c>
      <c r="D133" s="455">
        <v>45283</v>
      </c>
      <c r="E133" s="428" t="s">
        <v>50</v>
      </c>
      <c r="F133" s="520"/>
      <c r="G133" s="83">
        <v>45100</v>
      </c>
      <c r="H133" s="457"/>
      <c r="I133" s="338" t="s">
        <v>306</v>
      </c>
      <c r="J133" s="335" t="s">
        <v>305</v>
      </c>
      <c r="K133" s="443">
        <v>1</v>
      </c>
      <c r="L133" s="458"/>
      <c r="M133" s="137">
        <f t="shared" ref="M133:M173" si="47">K133</f>
        <v>1</v>
      </c>
      <c r="N133" s="433"/>
      <c r="O133" s="438"/>
      <c r="P133" s="87">
        <f t="shared" si="46"/>
        <v>1</v>
      </c>
      <c r="Q133" s="712">
        <f t="shared" si="32"/>
        <v>0</v>
      </c>
    </row>
    <row r="134" spans="1:18" s="9" customFormat="1" ht="28.5" customHeight="1" x14ac:dyDescent="0.25">
      <c r="A134" s="89"/>
      <c r="B134" s="379"/>
      <c r="C134" s="510" t="s">
        <v>330</v>
      </c>
      <c r="D134" s="455">
        <v>45277</v>
      </c>
      <c r="E134" s="428" t="s">
        <v>50</v>
      </c>
      <c r="F134" s="520"/>
      <c r="G134" s="83">
        <v>45124</v>
      </c>
      <c r="H134" s="457"/>
      <c r="I134" s="338" t="s">
        <v>333</v>
      </c>
      <c r="J134" s="335" t="s">
        <v>168</v>
      </c>
      <c r="K134" s="443">
        <v>1</v>
      </c>
      <c r="L134" s="458"/>
      <c r="M134" s="137">
        <f t="shared" si="47"/>
        <v>1</v>
      </c>
      <c r="N134" s="433"/>
      <c r="O134" s="438"/>
      <c r="P134" s="87">
        <f t="shared" si="46"/>
        <v>1</v>
      </c>
      <c r="Q134" s="712">
        <f t="shared" si="32"/>
        <v>0</v>
      </c>
      <c r="R134" s="1" t="s">
        <v>1</v>
      </c>
    </row>
    <row r="135" spans="1:18" s="9" customFormat="1" ht="28.5" customHeight="1" x14ac:dyDescent="0.25">
      <c r="A135" s="89"/>
      <c r="B135" s="379"/>
      <c r="C135" s="810" t="s">
        <v>334</v>
      </c>
      <c r="D135" s="455">
        <v>45278</v>
      </c>
      <c r="E135" s="428" t="s">
        <v>50</v>
      </c>
      <c r="F135" s="520"/>
      <c r="G135" s="83">
        <v>45124</v>
      </c>
      <c r="H135" s="457"/>
      <c r="I135" s="338" t="s">
        <v>337</v>
      </c>
      <c r="J135" s="335" t="s">
        <v>335</v>
      </c>
      <c r="K135" s="443">
        <v>1</v>
      </c>
      <c r="L135" s="458"/>
      <c r="M135" s="137">
        <f t="shared" si="47"/>
        <v>1</v>
      </c>
      <c r="N135" s="433"/>
      <c r="O135" s="438"/>
      <c r="P135" s="87">
        <f t="shared" si="46"/>
        <v>1</v>
      </c>
      <c r="Q135" s="712">
        <f t="shared" si="32"/>
        <v>0</v>
      </c>
    </row>
    <row r="136" spans="1:18" s="9" customFormat="1" ht="28.5" customHeight="1" x14ac:dyDescent="0.25">
      <c r="A136" s="89"/>
      <c r="B136" s="379"/>
      <c r="C136" s="811"/>
      <c r="D136" s="455">
        <v>45278</v>
      </c>
      <c r="E136" s="428" t="s">
        <v>50</v>
      </c>
      <c r="F136" s="520"/>
      <c r="G136" s="83">
        <v>45124</v>
      </c>
      <c r="H136" s="457"/>
      <c r="I136" s="338" t="s">
        <v>338</v>
      </c>
      <c r="J136" s="335" t="s">
        <v>227</v>
      </c>
      <c r="K136" s="443">
        <v>1</v>
      </c>
      <c r="L136" s="458"/>
      <c r="M136" s="137">
        <f t="shared" si="47"/>
        <v>1</v>
      </c>
      <c r="N136" s="433">
        <v>1</v>
      </c>
      <c r="O136" s="438"/>
      <c r="P136" s="87">
        <f t="shared" si="46"/>
        <v>0</v>
      </c>
      <c r="Q136" s="712">
        <f t="shared" si="32"/>
        <v>1</v>
      </c>
    </row>
    <row r="137" spans="1:18" s="9" customFormat="1" ht="39" customHeight="1" x14ac:dyDescent="0.25">
      <c r="A137" s="89"/>
      <c r="B137" s="379"/>
      <c r="C137" s="514"/>
      <c r="D137" s="455">
        <v>45316</v>
      </c>
      <c r="E137" s="428" t="s">
        <v>50</v>
      </c>
      <c r="F137" s="520"/>
      <c r="G137" s="83">
        <v>45142</v>
      </c>
      <c r="H137" s="457"/>
      <c r="I137" s="338" t="s">
        <v>359</v>
      </c>
      <c r="J137" s="335" t="s">
        <v>355</v>
      </c>
      <c r="K137" s="443">
        <v>6</v>
      </c>
      <c r="L137" s="458"/>
      <c r="M137" s="137">
        <f t="shared" si="47"/>
        <v>6</v>
      </c>
      <c r="N137" s="433">
        <v>6</v>
      </c>
      <c r="O137" s="438"/>
      <c r="P137" s="87">
        <f t="shared" si="46"/>
        <v>0</v>
      </c>
      <c r="Q137" s="712">
        <f t="shared" si="32"/>
        <v>6</v>
      </c>
    </row>
    <row r="138" spans="1:18" s="9" customFormat="1" ht="33" customHeight="1" x14ac:dyDescent="0.25">
      <c r="A138" s="89"/>
      <c r="B138" s="379"/>
      <c r="C138" s="810" t="s">
        <v>380</v>
      </c>
      <c r="D138" s="455">
        <v>45276</v>
      </c>
      <c r="E138" s="428" t="s">
        <v>50</v>
      </c>
      <c r="F138" s="520"/>
      <c r="G138" s="83">
        <v>45154</v>
      </c>
      <c r="H138" s="457"/>
      <c r="I138" s="338" t="s">
        <v>376</v>
      </c>
      <c r="J138" s="335" t="s">
        <v>372</v>
      </c>
      <c r="K138" s="443">
        <v>1</v>
      </c>
      <c r="L138" s="458"/>
      <c r="M138" s="137">
        <f t="shared" si="47"/>
        <v>1</v>
      </c>
      <c r="N138" s="433"/>
      <c r="O138" s="438"/>
      <c r="P138" s="87">
        <f t="shared" si="46"/>
        <v>1</v>
      </c>
      <c r="Q138" s="712">
        <f t="shared" si="32"/>
        <v>0</v>
      </c>
    </row>
    <row r="139" spans="1:18" s="9" customFormat="1" ht="33" customHeight="1" x14ac:dyDescent="0.25">
      <c r="A139" s="89"/>
      <c r="B139" s="379"/>
      <c r="C139" s="813"/>
      <c r="D139" s="455">
        <v>45276</v>
      </c>
      <c r="E139" s="428" t="s">
        <v>50</v>
      </c>
      <c r="F139" s="520"/>
      <c r="G139" s="83">
        <v>45154</v>
      </c>
      <c r="H139" s="457"/>
      <c r="I139" s="338" t="s">
        <v>377</v>
      </c>
      <c r="J139" s="335" t="s">
        <v>373</v>
      </c>
      <c r="K139" s="443">
        <v>1</v>
      </c>
      <c r="L139" s="458"/>
      <c r="M139" s="137">
        <f t="shared" si="47"/>
        <v>1</v>
      </c>
      <c r="N139" s="433"/>
      <c r="O139" s="438"/>
      <c r="P139" s="87">
        <f t="shared" si="46"/>
        <v>1</v>
      </c>
      <c r="Q139" s="712">
        <f t="shared" si="32"/>
        <v>0</v>
      </c>
    </row>
    <row r="140" spans="1:18" s="9" customFormat="1" ht="33" customHeight="1" x14ac:dyDescent="0.25">
      <c r="A140" s="89"/>
      <c r="B140" s="379"/>
      <c r="C140" s="811"/>
      <c r="D140" s="455">
        <v>45276</v>
      </c>
      <c r="E140" s="428" t="s">
        <v>50</v>
      </c>
      <c r="F140" s="520"/>
      <c r="G140" s="83">
        <v>45154</v>
      </c>
      <c r="H140" s="457"/>
      <c r="I140" s="338" t="s">
        <v>378</v>
      </c>
      <c r="J140" s="335" t="s">
        <v>374</v>
      </c>
      <c r="K140" s="443">
        <v>2</v>
      </c>
      <c r="L140" s="458"/>
      <c r="M140" s="137">
        <f t="shared" si="47"/>
        <v>2</v>
      </c>
      <c r="N140" s="433"/>
      <c r="O140" s="438"/>
      <c r="P140" s="87">
        <f t="shared" si="46"/>
        <v>2</v>
      </c>
      <c r="Q140" s="712">
        <f t="shared" si="32"/>
        <v>0</v>
      </c>
    </row>
    <row r="141" spans="1:18" s="9" customFormat="1" ht="33" customHeight="1" x14ac:dyDescent="0.25">
      <c r="A141" s="89"/>
      <c r="B141" s="379"/>
      <c r="C141" s="554" t="s">
        <v>726</v>
      </c>
      <c r="D141" s="455">
        <v>45495</v>
      </c>
      <c r="E141" s="428" t="s">
        <v>50</v>
      </c>
      <c r="F141" s="520"/>
      <c r="G141" s="83">
        <v>45313</v>
      </c>
      <c r="H141" s="457"/>
      <c r="I141" s="338" t="s">
        <v>724</v>
      </c>
      <c r="J141" s="335" t="s">
        <v>725</v>
      </c>
      <c r="K141" s="513">
        <v>1</v>
      </c>
      <c r="L141" s="458"/>
      <c r="M141" s="137">
        <f t="shared" si="47"/>
        <v>1</v>
      </c>
      <c r="N141" s="433"/>
      <c r="O141" s="438"/>
      <c r="P141" s="87">
        <f t="shared" si="46"/>
        <v>1</v>
      </c>
      <c r="Q141" s="712">
        <f t="shared" si="32"/>
        <v>0</v>
      </c>
    </row>
    <row r="142" spans="1:18" s="9" customFormat="1" ht="32.25" customHeight="1" x14ac:dyDescent="0.25">
      <c r="A142" s="89"/>
      <c r="B142" s="379"/>
      <c r="C142" s="554" t="s">
        <v>739</v>
      </c>
      <c r="D142" s="455">
        <v>45465</v>
      </c>
      <c r="E142" s="428" t="s">
        <v>50</v>
      </c>
      <c r="F142" s="456"/>
      <c r="G142" s="83">
        <v>45323</v>
      </c>
      <c r="H142" s="457"/>
      <c r="I142" s="338" t="s">
        <v>737</v>
      </c>
      <c r="J142" s="335" t="s">
        <v>728</v>
      </c>
      <c r="K142" s="513">
        <v>1</v>
      </c>
      <c r="L142" s="458"/>
      <c r="M142" s="137">
        <f t="shared" si="47"/>
        <v>1</v>
      </c>
      <c r="N142" s="433"/>
      <c r="O142" s="438"/>
      <c r="P142" s="87">
        <f t="shared" si="46"/>
        <v>1</v>
      </c>
      <c r="Q142" s="712">
        <f t="shared" si="32"/>
        <v>0</v>
      </c>
    </row>
    <row r="143" spans="1:18" s="9" customFormat="1" ht="32.25" customHeight="1" x14ac:dyDescent="0.25">
      <c r="A143" s="89"/>
      <c r="B143" s="379"/>
      <c r="C143" s="554" t="s">
        <v>740</v>
      </c>
      <c r="D143" s="455">
        <v>45495</v>
      </c>
      <c r="E143" s="428" t="s">
        <v>50</v>
      </c>
      <c r="F143" s="456"/>
      <c r="G143" s="83">
        <v>45323</v>
      </c>
      <c r="H143" s="457"/>
      <c r="I143" s="338" t="s">
        <v>738</v>
      </c>
      <c r="J143" s="335" t="s">
        <v>270</v>
      </c>
      <c r="K143" s="513">
        <v>1</v>
      </c>
      <c r="L143" s="458"/>
      <c r="M143" s="137">
        <f t="shared" si="47"/>
        <v>1</v>
      </c>
      <c r="N143" s="433"/>
      <c r="O143" s="438"/>
      <c r="P143" s="87">
        <f t="shared" si="46"/>
        <v>1</v>
      </c>
      <c r="Q143" s="712">
        <f t="shared" si="32"/>
        <v>0</v>
      </c>
    </row>
    <row r="144" spans="1:18" s="9" customFormat="1" ht="32.25" customHeight="1" x14ac:dyDescent="0.25">
      <c r="A144" s="89"/>
      <c r="B144" s="379"/>
      <c r="C144" s="554"/>
      <c r="D144" s="455">
        <v>45511</v>
      </c>
      <c r="E144" s="428" t="s">
        <v>50</v>
      </c>
      <c r="F144" s="456"/>
      <c r="G144" s="83">
        <v>45329</v>
      </c>
      <c r="H144" s="457"/>
      <c r="I144" s="338" t="s">
        <v>758</v>
      </c>
      <c r="J144" s="335" t="s">
        <v>759</v>
      </c>
      <c r="K144" s="513">
        <v>7</v>
      </c>
      <c r="L144" s="458"/>
      <c r="M144" s="137">
        <f t="shared" si="47"/>
        <v>7</v>
      </c>
      <c r="N144" s="433"/>
      <c r="O144" s="438"/>
      <c r="P144" s="87">
        <f t="shared" si="46"/>
        <v>7</v>
      </c>
      <c r="Q144" s="712">
        <f t="shared" si="32"/>
        <v>0</v>
      </c>
    </row>
    <row r="145" spans="1:17" s="9" customFormat="1" ht="32.25" customHeight="1" x14ac:dyDescent="0.25">
      <c r="A145" s="89"/>
      <c r="B145" s="379"/>
      <c r="C145" s="510" t="s">
        <v>428</v>
      </c>
      <c r="D145" s="455">
        <v>45317</v>
      </c>
      <c r="E145" s="428" t="s">
        <v>50</v>
      </c>
      <c r="F145" s="456"/>
      <c r="G145" s="83">
        <v>45196</v>
      </c>
      <c r="H145" s="457"/>
      <c r="I145" s="338" t="s">
        <v>429</v>
      </c>
      <c r="J145" s="335" t="s">
        <v>270</v>
      </c>
      <c r="K145" s="443">
        <v>1</v>
      </c>
      <c r="L145" s="458"/>
      <c r="M145" s="137">
        <f t="shared" si="47"/>
        <v>1</v>
      </c>
      <c r="N145" s="433"/>
      <c r="O145" s="438"/>
      <c r="P145" s="87">
        <f t="shared" si="46"/>
        <v>1</v>
      </c>
      <c r="Q145" s="712">
        <f t="shared" si="32"/>
        <v>0</v>
      </c>
    </row>
    <row r="146" spans="1:17" s="9" customFormat="1" ht="38.25" customHeight="1" x14ac:dyDescent="0.25">
      <c r="A146" s="89"/>
      <c r="B146" s="379"/>
      <c r="C146" s="810" t="s">
        <v>430</v>
      </c>
      <c r="D146" s="455">
        <v>45317</v>
      </c>
      <c r="E146" s="428" t="s">
        <v>50</v>
      </c>
      <c r="F146" s="456"/>
      <c r="G146" s="83">
        <v>45195</v>
      </c>
      <c r="H146" s="457"/>
      <c r="I146" s="338" t="s">
        <v>441</v>
      </c>
      <c r="J146" s="335" t="s">
        <v>395</v>
      </c>
      <c r="K146" s="513">
        <v>1</v>
      </c>
      <c r="L146" s="458"/>
      <c r="M146" s="137">
        <f t="shared" si="47"/>
        <v>1</v>
      </c>
      <c r="N146" s="433"/>
      <c r="O146" s="438"/>
      <c r="P146" s="87">
        <f t="shared" si="46"/>
        <v>1</v>
      </c>
      <c r="Q146" s="712">
        <f t="shared" si="32"/>
        <v>0</v>
      </c>
    </row>
    <row r="147" spans="1:17" s="9" customFormat="1" ht="32.25" customHeight="1" x14ac:dyDescent="0.25">
      <c r="A147" s="89"/>
      <c r="B147" s="379"/>
      <c r="C147" s="813"/>
      <c r="D147" s="455">
        <v>45285</v>
      </c>
      <c r="E147" s="428" t="s">
        <v>50</v>
      </c>
      <c r="F147" s="456"/>
      <c r="G147" s="83">
        <v>45195</v>
      </c>
      <c r="H147" s="457"/>
      <c r="I147" s="338" t="s">
        <v>447</v>
      </c>
      <c r="J147" s="335" t="s">
        <v>396</v>
      </c>
      <c r="K147" s="513">
        <v>1</v>
      </c>
      <c r="L147" s="458"/>
      <c r="M147" s="137">
        <f t="shared" si="47"/>
        <v>1</v>
      </c>
      <c r="N147" s="433"/>
      <c r="O147" s="438"/>
      <c r="P147" s="87">
        <f t="shared" si="46"/>
        <v>1</v>
      </c>
      <c r="Q147" s="712">
        <f t="shared" si="32"/>
        <v>0</v>
      </c>
    </row>
    <row r="148" spans="1:17" s="9" customFormat="1" ht="32.25" customHeight="1" x14ac:dyDescent="0.25">
      <c r="A148" s="89"/>
      <c r="B148" s="379"/>
      <c r="C148" s="813"/>
      <c r="D148" s="455">
        <v>45317</v>
      </c>
      <c r="E148" s="428" t="s">
        <v>50</v>
      </c>
      <c r="F148" s="456"/>
      <c r="G148" s="83">
        <v>45195</v>
      </c>
      <c r="H148" s="457"/>
      <c r="I148" s="338" t="s">
        <v>443</v>
      </c>
      <c r="J148" s="335" t="s">
        <v>433</v>
      </c>
      <c r="K148" s="513">
        <v>2</v>
      </c>
      <c r="L148" s="458"/>
      <c r="M148" s="137">
        <f t="shared" si="47"/>
        <v>2</v>
      </c>
      <c r="N148" s="433"/>
      <c r="O148" s="438"/>
      <c r="P148" s="87">
        <f t="shared" si="46"/>
        <v>2</v>
      </c>
      <c r="Q148" s="712">
        <f t="shared" si="32"/>
        <v>0</v>
      </c>
    </row>
    <row r="149" spans="1:17" s="9" customFormat="1" ht="32.25" customHeight="1" x14ac:dyDescent="0.25">
      <c r="A149" s="89"/>
      <c r="B149" s="379"/>
      <c r="C149" s="813"/>
      <c r="D149" s="455">
        <v>45317</v>
      </c>
      <c r="E149" s="428" t="s">
        <v>50</v>
      </c>
      <c r="F149" s="456"/>
      <c r="G149" s="83">
        <v>45195</v>
      </c>
      <c r="H149" s="457"/>
      <c r="I149" s="338" t="s">
        <v>444</v>
      </c>
      <c r="J149" s="335" t="s">
        <v>434</v>
      </c>
      <c r="K149" s="513">
        <v>1</v>
      </c>
      <c r="L149" s="458"/>
      <c r="M149" s="137">
        <f t="shared" si="47"/>
        <v>1</v>
      </c>
      <c r="N149" s="433"/>
      <c r="O149" s="438"/>
      <c r="P149" s="87">
        <f t="shared" si="46"/>
        <v>1</v>
      </c>
      <c r="Q149" s="712">
        <f t="shared" si="32"/>
        <v>0</v>
      </c>
    </row>
    <row r="150" spans="1:17" s="9" customFormat="1" ht="32.25" customHeight="1" x14ac:dyDescent="0.25">
      <c r="A150" s="89"/>
      <c r="B150" s="379"/>
      <c r="C150" s="813"/>
      <c r="D150" s="455">
        <v>45317</v>
      </c>
      <c r="E150" s="428" t="s">
        <v>50</v>
      </c>
      <c r="F150" s="456"/>
      <c r="G150" s="83">
        <v>45195</v>
      </c>
      <c r="H150" s="457"/>
      <c r="I150" s="338" t="s">
        <v>446</v>
      </c>
      <c r="J150" s="335" t="s">
        <v>436</v>
      </c>
      <c r="K150" s="513">
        <v>2</v>
      </c>
      <c r="L150" s="458"/>
      <c r="M150" s="137">
        <f t="shared" si="47"/>
        <v>2</v>
      </c>
      <c r="N150" s="433"/>
      <c r="O150" s="438"/>
      <c r="P150" s="87">
        <f t="shared" si="46"/>
        <v>2</v>
      </c>
      <c r="Q150" s="712">
        <f t="shared" si="32"/>
        <v>0</v>
      </c>
    </row>
    <row r="151" spans="1:17" s="9" customFormat="1" ht="78" customHeight="1" x14ac:dyDescent="0.25">
      <c r="A151" s="89"/>
      <c r="B151" s="379"/>
      <c r="C151" s="554" t="s">
        <v>454</v>
      </c>
      <c r="D151" s="455">
        <v>45317</v>
      </c>
      <c r="E151" s="428" t="s">
        <v>50</v>
      </c>
      <c r="F151" s="632"/>
      <c r="G151" s="83">
        <v>45195</v>
      </c>
      <c r="H151" s="457"/>
      <c r="I151" s="338" t="s">
        <v>457</v>
      </c>
      <c r="J151" s="335" t="s">
        <v>455</v>
      </c>
      <c r="K151" s="513">
        <v>2</v>
      </c>
      <c r="L151" s="458"/>
      <c r="M151" s="137">
        <f t="shared" si="47"/>
        <v>2</v>
      </c>
      <c r="N151" s="433"/>
      <c r="O151" s="438"/>
      <c r="P151" s="87">
        <f t="shared" si="46"/>
        <v>2</v>
      </c>
      <c r="Q151" s="712">
        <f t="shared" si="32"/>
        <v>0</v>
      </c>
    </row>
    <row r="152" spans="1:17" s="9" customFormat="1" ht="38.25" customHeight="1" x14ac:dyDescent="0.25">
      <c r="A152" s="89"/>
      <c r="B152" s="379"/>
      <c r="C152" s="810" t="s">
        <v>403</v>
      </c>
      <c r="D152" s="455">
        <v>45278</v>
      </c>
      <c r="E152" s="428" t="s">
        <v>50</v>
      </c>
      <c r="F152" s="456"/>
      <c r="G152" s="83">
        <v>45187</v>
      </c>
      <c r="H152" s="457"/>
      <c r="I152" s="338" t="s">
        <v>398</v>
      </c>
      <c r="J152" s="335" t="s">
        <v>395</v>
      </c>
      <c r="K152" s="513">
        <v>1</v>
      </c>
      <c r="L152" s="458"/>
      <c r="M152" s="137">
        <f t="shared" si="47"/>
        <v>1</v>
      </c>
      <c r="N152" s="433"/>
      <c r="O152" s="438"/>
      <c r="P152" s="87">
        <f t="shared" si="46"/>
        <v>1</v>
      </c>
      <c r="Q152" s="712">
        <f t="shared" si="32"/>
        <v>0</v>
      </c>
    </row>
    <row r="153" spans="1:17" s="9" customFormat="1" ht="32.25" customHeight="1" x14ac:dyDescent="0.25">
      <c r="A153" s="89"/>
      <c r="B153" s="379"/>
      <c r="C153" s="813"/>
      <c r="D153" s="455">
        <v>45278</v>
      </c>
      <c r="E153" s="428" t="s">
        <v>50</v>
      </c>
      <c r="F153" s="456"/>
      <c r="G153" s="83">
        <v>45187</v>
      </c>
      <c r="H153" s="457"/>
      <c r="I153" s="338" t="s">
        <v>399</v>
      </c>
      <c r="J153" s="335" t="s">
        <v>396</v>
      </c>
      <c r="K153" s="513">
        <v>1</v>
      </c>
      <c r="L153" s="458"/>
      <c r="M153" s="137">
        <f t="shared" si="47"/>
        <v>1</v>
      </c>
      <c r="N153" s="433"/>
      <c r="O153" s="438"/>
      <c r="P153" s="87">
        <f t="shared" si="46"/>
        <v>1</v>
      </c>
      <c r="Q153" s="712">
        <f t="shared" ref="Q153:Q221" si="48">M153-P153</f>
        <v>0</v>
      </c>
    </row>
    <row r="154" spans="1:17" s="9" customFormat="1" ht="41.25" customHeight="1" x14ac:dyDescent="0.25">
      <c r="A154" s="78"/>
      <c r="B154" s="132"/>
      <c r="C154" s="471" t="s">
        <v>518</v>
      </c>
      <c r="D154" s="552">
        <v>44992</v>
      </c>
      <c r="E154" s="365" t="s">
        <v>50</v>
      </c>
      <c r="F154" s="583"/>
      <c r="G154" s="426">
        <v>45237</v>
      </c>
      <c r="H154" s="457"/>
      <c r="I154" s="468" t="s">
        <v>519</v>
      </c>
      <c r="J154" s="336" t="s">
        <v>131</v>
      </c>
      <c r="K154" s="513">
        <v>1</v>
      </c>
      <c r="L154" s="458"/>
      <c r="M154" s="137">
        <f t="shared" si="47"/>
        <v>1</v>
      </c>
      <c r="N154" s="130"/>
      <c r="O154" s="584"/>
      <c r="P154" s="137">
        <f t="shared" si="46"/>
        <v>1</v>
      </c>
      <c r="Q154" s="712">
        <f t="shared" si="48"/>
        <v>0</v>
      </c>
    </row>
    <row r="155" spans="1:17" s="9" customFormat="1" ht="34.5" customHeight="1" x14ac:dyDescent="0.25">
      <c r="A155" s="78"/>
      <c r="B155" s="132"/>
      <c r="C155" s="471" t="s">
        <v>522</v>
      </c>
      <c r="D155" s="552">
        <v>45026</v>
      </c>
      <c r="E155" s="365" t="s">
        <v>50</v>
      </c>
      <c r="F155" s="583"/>
      <c r="G155" s="426">
        <v>45240</v>
      </c>
      <c r="H155" s="457"/>
      <c r="I155" s="468" t="s">
        <v>523</v>
      </c>
      <c r="J155" s="336" t="s">
        <v>211</v>
      </c>
      <c r="K155" s="513">
        <v>1</v>
      </c>
      <c r="L155" s="458"/>
      <c r="M155" s="137">
        <f t="shared" si="47"/>
        <v>1</v>
      </c>
      <c r="N155" s="130"/>
      <c r="O155" s="584"/>
      <c r="P155" s="137">
        <f t="shared" si="46"/>
        <v>1</v>
      </c>
      <c r="Q155" s="712">
        <f t="shared" si="48"/>
        <v>0</v>
      </c>
    </row>
    <row r="156" spans="1:17" s="9" customFormat="1" ht="34.5" customHeight="1" x14ac:dyDescent="0.25">
      <c r="A156" s="78"/>
      <c r="B156" s="132"/>
      <c r="C156" s="471" t="s">
        <v>532</v>
      </c>
      <c r="D156" s="552">
        <v>45413</v>
      </c>
      <c r="E156" s="365" t="s">
        <v>50</v>
      </c>
      <c r="F156" s="583"/>
      <c r="G156" s="426">
        <v>45245</v>
      </c>
      <c r="H156" s="457"/>
      <c r="I156" s="468" t="s">
        <v>533</v>
      </c>
      <c r="J156" s="336" t="s">
        <v>534</v>
      </c>
      <c r="K156" s="513">
        <v>1</v>
      </c>
      <c r="L156" s="458"/>
      <c r="M156" s="137">
        <f t="shared" si="47"/>
        <v>1</v>
      </c>
      <c r="N156" s="130"/>
      <c r="O156" s="584"/>
      <c r="P156" s="137">
        <f t="shared" si="46"/>
        <v>1</v>
      </c>
      <c r="Q156" s="712">
        <f t="shared" si="48"/>
        <v>0</v>
      </c>
    </row>
    <row r="157" spans="1:17" s="9" customFormat="1" ht="35.25" customHeight="1" x14ac:dyDescent="0.25">
      <c r="A157" s="78"/>
      <c r="B157" s="132"/>
      <c r="C157" s="790" t="s">
        <v>535</v>
      </c>
      <c r="D157" s="552">
        <v>45413</v>
      </c>
      <c r="E157" s="365" t="s">
        <v>50</v>
      </c>
      <c r="F157" s="583"/>
      <c r="G157" s="426"/>
      <c r="H157" s="457"/>
      <c r="I157" s="468" t="s">
        <v>536</v>
      </c>
      <c r="J157" s="336" t="s">
        <v>335</v>
      </c>
      <c r="K157" s="513">
        <v>1</v>
      </c>
      <c r="L157" s="458"/>
      <c r="M157" s="137">
        <f t="shared" si="47"/>
        <v>1</v>
      </c>
      <c r="N157" s="130"/>
      <c r="O157" s="584"/>
      <c r="P157" s="137">
        <f t="shared" si="46"/>
        <v>1</v>
      </c>
      <c r="Q157" s="712">
        <f t="shared" si="48"/>
        <v>0</v>
      </c>
    </row>
    <row r="158" spans="1:17" s="9" customFormat="1" ht="26.4" x14ac:dyDescent="0.25">
      <c r="A158" s="78"/>
      <c r="B158" s="132"/>
      <c r="C158" s="792"/>
      <c r="D158" s="552">
        <v>45413</v>
      </c>
      <c r="E158" s="365" t="s">
        <v>50</v>
      </c>
      <c r="F158" s="583"/>
      <c r="G158" s="426"/>
      <c r="H158" s="457"/>
      <c r="I158" s="468" t="s">
        <v>539</v>
      </c>
      <c r="J158" s="336" t="s">
        <v>438</v>
      </c>
      <c r="K158" s="513">
        <v>1</v>
      </c>
      <c r="L158" s="458"/>
      <c r="M158" s="137">
        <f t="shared" si="47"/>
        <v>1</v>
      </c>
      <c r="N158" s="130">
        <v>1</v>
      </c>
      <c r="O158" s="584"/>
      <c r="P158" s="137">
        <f t="shared" si="46"/>
        <v>0</v>
      </c>
      <c r="Q158" s="712">
        <f t="shared" si="48"/>
        <v>1</v>
      </c>
    </row>
    <row r="159" spans="1:17" s="9" customFormat="1" ht="26.4" x14ac:dyDescent="0.25">
      <c r="A159" s="78"/>
      <c r="B159" s="132"/>
      <c r="C159" s="471" t="s">
        <v>542</v>
      </c>
      <c r="D159" s="552">
        <v>45413</v>
      </c>
      <c r="E159" s="365" t="s">
        <v>50</v>
      </c>
      <c r="F159" s="583"/>
      <c r="G159" s="426"/>
      <c r="H159" s="457"/>
      <c r="I159" s="468" t="s">
        <v>540</v>
      </c>
      <c r="J159" s="336" t="s">
        <v>541</v>
      </c>
      <c r="K159" s="513">
        <v>1</v>
      </c>
      <c r="L159" s="458"/>
      <c r="M159" s="137">
        <f t="shared" si="47"/>
        <v>1</v>
      </c>
      <c r="N159" s="130"/>
      <c r="O159" s="584"/>
      <c r="P159" s="137">
        <f t="shared" si="46"/>
        <v>1</v>
      </c>
      <c r="Q159" s="712">
        <f t="shared" si="48"/>
        <v>0</v>
      </c>
    </row>
    <row r="160" spans="1:17" s="9" customFormat="1" ht="26.4" x14ac:dyDescent="0.25">
      <c r="A160" s="78"/>
      <c r="B160" s="132"/>
      <c r="C160" s="549" t="s">
        <v>566</v>
      </c>
      <c r="D160" s="552">
        <v>45422</v>
      </c>
      <c r="E160" s="365" t="s">
        <v>50</v>
      </c>
      <c r="F160" s="583"/>
      <c r="G160" s="426"/>
      <c r="H160" s="457"/>
      <c r="I160" s="468" t="s">
        <v>565</v>
      </c>
      <c r="J160" s="336" t="s">
        <v>534</v>
      </c>
      <c r="K160" s="513">
        <v>1</v>
      </c>
      <c r="L160" s="458"/>
      <c r="M160" s="137">
        <f t="shared" si="47"/>
        <v>1</v>
      </c>
      <c r="N160" s="130"/>
      <c r="O160" s="584"/>
      <c r="P160" s="137">
        <f t="shared" si="46"/>
        <v>1</v>
      </c>
      <c r="Q160" s="712">
        <f t="shared" si="48"/>
        <v>0</v>
      </c>
    </row>
    <row r="161" spans="1:17" s="9" customFormat="1" ht="26.4" x14ac:dyDescent="0.25">
      <c r="A161" s="78"/>
      <c r="B161" s="132"/>
      <c r="C161" s="790" t="s">
        <v>547</v>
      </c>
      <c r="D161" s="552">
        <v>45361</v>
      </c>
      <c r="E161" s="365" t="s">
        <v>50</v>
      </c>
      <c r="F161" s="583"/>
      <c r="G161" s="426"/>
      <c r="H161" s="457"/>
      <c r="I161" s="468" t="s">
        <v>543</v>
      </c>
      <c r="J161" s="336" t="s">
        <v>544</v>
      </c>
      <c r="K161" s="513">
        <v>4</v>
      </c>
      <c r="L161" s="458"/>
      <c r="M161" s="137">
        <f t="shared" si="47"/>
        <v>4</v>
      </c>
      <c r="N161" s="130"/>
      <c r="O161" s="584"/>
      <c r="P161" s="137">
        <f t="shared" si="46"/>
        <v>4</v>
      </c>
      <c r="Q161" s="712">
        <f t="shared" si="48"/>
        <v>0</v>
      </c>
    </row>
    <row r="162" spans="1:17" s="9" customFormat="1" ht="26.4" x14ac:dyDescent="0.25">
      <c r="A162" s="78"/>
      <c r="B162" s="132"/>
      <c r="C162" s="792"/>
      <c r="D162" s="552">
        <v>45361</v>
      </c>
      <c r="E162" s="365" t="s">
        <v>50</v>
      </c>
      <c r="F162" s="583"/>
      <c r="G162" s="426"/>
      <c r="H162" s="457"/>
      <c r="I162" s="468" t="s">
        <v>545</v>
      </c>
      <c r="J162" s="336" t="s">
        <v>546</v>
      </c>
      <c r="K162" s="513">
        <v>3</v>
      </c>
      <c r="L162" s="458"/>
      <c r="M162" s="137">
        <f t="shared" si="47"/>
        <v>3</v>
      </c>
      <c r="N162" s="130"/>
      <c r="O162" s="584"/>
      <c r="P162" s="137">
        <f t="shared" si="46"/>
        <v>3</v>
      </c>
      <c r="Q162" s="712">
        <f t="shared" si="48"/>
        <v>0</v>
      </c>
    </row>
    <row r="163" spans="1:17" s="9" customFormat="1" ht="26.4" x14ac:dyDescent="0.25">
      <c r="A163" s="78"/>
      <c r="B163" s="132"/>
      <c r="C163" s="549" t="s">
        <v>548</v>
      </c>
      <c r="D163" s="552">
        <v>44967</v>
      </c>
      <c r="E163" s="365" t="s">
        <v>50</v>
      </c>
      <c r="F163" s="583"/>
      <c r="G163" s="426"/>
      <c r="H163" s="457"/>
      <c r="I163" s="468" t="s">
        <v>549</v>
      </c>
      <c r="J163" s="336" t="s">
        <v>550</v>
      </c>
      <c r="K163" s="513">
        <v>3</v>
      </c>
      <c r="L163" s="458"/>
      <c r="M163" s="137">
        <f t="shared" si="47"/>
        <v>3</v>
      </c>
      <c r="N163" s="130"/>
      <c r="O163" s="584"/>
      <c r="P163" s="137">
        <f t="shared" si="46"/>
        <v>3</v>
      </c>
      <c r="Q163" s="712">
        <f t="shared" si="48"/>
        <v>0</v>
      </c>
    </row>
    <row r="164" spans="1:17" s="9" customFormat="1" ht="27" customHeight="1" x14ac:dyDescent="0.25">
      <c r="A164" s="78"/>
      <c r="B164" s="132"/>
      <c r="C164" s="549" t="s">
        <v>553</v>
      </c>
      <c r="D164" s="552">
        <v>44967</v>
      </c>
      <c r="E164" s="365" t="s">
        <v>50</v>
      </c>
      <c r="F164" s="583"/>
      <c r="G164" s="426"/>
      <c r="H164" s="457"/>
      <c r="I164" s="468" t="s">
        <v>551</v>
      </c>
      <c r="J164" s="336" t="s">
        <v>552</v>
      </c>
      <c r="K164" s="513">
        <v>2</v>
      </c>
      <c r="L164" s="458"/>
      <c r="M164" s="137">
        <f t="shared" si="47"/>
        <v>2</v>
      </c>
      <c r="N164" s="130"/>
      <c r="O164" s="584"/>
      <c r="P164" s="137">
        <f t="shared" si="46"/>
        <v>2</v>
      </c>
      <c r="Q164" s="712">
        <f t="shared" si="48"/>
        <v>0</v>
      </c>
    </row>
    <row r="165" spans="1:17" s="9" customFormat="1" ht="30.75" customHeight="1" x14ac:dyDescent="0.25">
      <c r="A165" s="78"/>
      <c r="B165" s="132"/>
      <c r="C165" s="549" t="s">
        <v>596</v>
      </c>
      <c r="D165" s="552">
        <v>45383</v>
      </c>
      <c r="E165" s="365" t="s">
        <v>50</v>
      </c>
      <c r="F165" s="583"/>
      <c r="G165" s="426">
        <v>45261</v>
      </c>
      <c r="H165" s="457"/>
      <c r="I165" s="468" t="s">
        <v>595</v>
      </c>
      <c r="J165" s="336" t="s">
        <v>290</v>
      </c>
      <c r="K165" s="513">
        <v>8</v>
      </c>
      <c r="L165" s="458"/>
      <c r="M165" s="137">
        <f t="shared" si="47"/>
        <v>8</v>
      </c>
      <c r="N165" s="130">
        <v>1</v>
      </c>
      <c r="O165" s="584"/>
      <c r="P165" s="137">
        <f t="shared" si="46"/>
        <v>7</v>
      </c>
      <c r="Q165" s="712">
        <f t="shared" si="48"/>
        <v>1</v>
      </c>
    </row>
    <row r="166" spans="1:17" s="9" customFormat="1" ht="27" customHeight="1" x14ac:dyDescent="0.25">
      <c r="A166" s="78"/>
      <c r="B166" s="132"/>
      <c r="C166" s="471" t="s">
        <v>647</v>
      </c>
      <c r="D166" s="552">
        <v>45017</v>
      </c>
      <c r="E166" s="365" t="s">
        <v>50</v>
      </c>
      <c r="F166" s="583"/>
      <c r="G166" s="426">
        <v>45267</v>
      </c>
      <c r="H166" s="457"/>
      <c r="I166" s="468" t="s">
        <v>645</v>
      </c>
      <c r="J166" s="336" t="s">
        <v>646</v>
      </c>
      <c r="K166" s="513">
        <v>2</v>
      </c>
      <c r="L166" s="458"/>
      <c r="M166" s="137">
        <f t="shared" si="47"/>
        <v>2</v>
      </c>
      <c r="N166" s="130"/>
      <c r="O166" s="584"/>
      <c r="P166" s="137">
        <f t="shared" si="46"/>
        <v>2</v>
      </c>
      <c r="Q166" s="712">
        <f t="shared" si="48"/>
        <v>0</v>
      </c>
    </row>
    <row r="167" spans="1:17" s="9" customFormat="1" ht="27" customHeight="1" x14ac:dyDescent="0.25">
      <c r="A167" s="78"/>
      <c r="B167" s="132"/>
      <c r="C167" s="471" t="s">
        <v>732</v>
      </c>
      <c r="D167" s="552">
        <v>45495</v>
      </c>
      <c r="E167" s="365" t="s">
        <v>50</v>
      </c>
      <c r="F167" s="583"/>
      <c r="G167" s="426">
        <v>45316</v>
      </c>
      <c r="H167" s="457"/>
      <c r="I167" s="468" t="s">
        <v>727</v>
      </c>
      <c r="J167" s="336" t="s">
        <v>728</v>
      </c>
      <c r="K167" s="513">
        <v>1</v>
      </c>
      <c r="L167" s="458"/>
      <c r="M167" s="137">
        <f t="shared" si="47"/>
        <v>1</v>
      </c>
      <c r="N167" s="130"/>
      <c r="O167" s="584"/>
      <c r="P167" s="137">
        <f t="shared" si="46"/>
        <v>1</v>
      </c>
      <c r="Q167" s="712">
        <f t="shared" si="48"/>
        <v>0</v>
      </c>
    </row>
    <row r="168" spans="1:17" s="9" customFormat="1" ht="27" customHeight="1" x14ac:dyDescent="0.25">
      <c r="A168" s="78"/>
      <c r="B168" s="132"/>
      <c r="C168" s="471" t="s">
        <v>733</v>
      </c>
      <c r="D168" s="552">
        <v>45495</v>
      </c>
      <c r="E168" s="365" t="s">
        <v>50</v>
      </c>
      <c r="F168" s="583"/>
      <c r="G168" s="426">
        <v>45316</v>
      </c>
      <c r="H168" s="457"/>
      <c r="I168" s="468" t="s">
        <v>729</v>
      </c>
      <c r="J168" s="336" t="s">
        <v>728</v>
      </c>
      <c r="K168" s="513">
        <v>1</v>
      </c>
      <c r="L168" s="458"/>
      <c r="M168" s="137">
        <f t="shared" si="47"/>
        <v>1</v>
      </c>
      <c r="N168" s="130"/>
      <c r="O168" s="584"/>
      <c r="P168" s="137">
        <f t="shared" si="46"/>
        <v>1</v>
      </c>
      <c r="Q168" s="712">
        <f t="shared" si="48"/>
        <v>0</v>
      </c>
    </row>
    <row r="169" spans="1:17" s="9" customFormat="1" ht="27" customHeight="1" x14ac:dyDescent="0.25">
      <c r="A169" s="78"/>
      <c r="B169" s="132"/>
      <c r="C169" s="471" t="s">
        <v>782</v>
      </c>
      <c r="D169" s="552">
        <v>45463</v>
      </c>
      <c r="E169" s="365" t="s">
        <v>50</v>
      </c>
      <c r="F169" s="583"/>
      <c r="G169" s="426">
        <v>45334</v>
      </c>
      <c r="H169" s="457"/>
      <c r="I169" s="468" t="s">
        <v>781</v>
      </c>
      <c r="J169" s="336" t="s">
        <v>521</v>
      </c>
      <c r="K169" s="513">
        <v>6</v>
      </c>
      <c r="L169" s="458"/>
      <c r="M169" s="137">
        <f t="shared" si="47"/>
        <v>6</v>
      </c>
      <c r="N169" s="130"/>
      <c r="O169" s="584"/>
      <c r="P169" s="137">
        <f t="shared" si="46"/>
        <v>6</v>
      </c>
      <c r="Q169" s="712">
        <f t="shared" si="48"/>
        <v>0</v>
      </c>
    </row>
    <row r="170" spans="1:17" s="9" customFormat="1" ht="27" customHeight="1" x14ac:dyDescent="0.25">
      <c r="A170" s="78"/>
      <c r="B170" s="132"/>
      <c r="C170" s="471" t="s">
        <v>840</v>
      </c>
      <c r="D170" s="552">
        <v>45485</v>
      </c>
      <c r="E170" s="365" t="s">
        <v>50</v>
      </c>
      <c r="F170" s="583"/>
      <c r="G170" s="426">
        <v>45363</v>
      </c>
      <c r="H170" s="457"/>
      <c r="I170" s="468" t="s">
        <v>836</v>
      </c>
      <c r="J170" s="336" t="s">
        <v>131</v>
      </c>
      <c r="K170" s="513">
        <v>2</v>
      </c>
      <c r="L170" s="458"/>
      <c r="M170" s="137">
        <f t="shared" si="47"/>
        <v>2</v>
      </c>
      <c r="N170" s="130"/>
      <c r="O170" s="584"/>
      <c r="P170" s="137">
        <f t="shared" si="46"/>
        <v>2</v>
      </c>
      <c r="Q170" s="712"/>
    </row>
    <row r="171" spans="1:17" s="9" customFormat="1" ht="27" customHeight="1" x14ac:dyDescent="0.25">
      <c r="A171" s="78"/>
      <c r="B171" s="132"/>
      <c r="C171" s="471" t="s">
        <v>841</v>
      </c>
      <c r="D171" s="552">
        <v>45526</v>
      </c>
      <c r="E171" s="365" t="s">
        <v>50</v>
      </c>
      <c r="F171" s="583"/>
      <c r="G171" s="426">
        <v>45363</v>
      </c>
      <c r="H171" s="457"/>
      <c r="I171" s="468" t="s">
        <v>837</v>
      </c>
      <c r="J171" s="336" t="s">
        <v>838</v>
      </c>
      <c r="K171" s="513">
        <v>2</v>
      </c>
      <c r="L171" s="458"/>
      <c r="M171" s="137">
        <f t="shared" si="47"/>
        <v>2</v>
      </c>
      <c r="N171" s="130"/>
      <c r="O171" s="584"/>
      <c r="P171" s="137">
        <f t="shared" si="46"/>
        <v>2</v>
      </c>
      <c r="Q171" s="712"/>
    </row>
    <row r="172" spans="1:17" s="9" customFormat="1" ht="27" customHeight="1" x14ac:dyDescent="0.25">
      <c r="A172" s="78"/>
      <c r="B172" s="132"/>
      <c r="C172" s="471" t="s">
        <v>876</v>
      </c>
      <c r="D172" s="552">
        <v>45392</v>
      </c>
      <c r="E172" s="365" t="s">
        <v>50</v>
      </c>
      <c r="F172" s="583"/>
      <c r="G172" s="426">
        <v>45376</v>
      </c>
      <c r="H172" s="457"/>
      <c r="I172" s="468" t="s">
        <v>875</v>
      </c>
      <c r="J172" s="336" t="s">
        <v>133</v>
      </c>
      <c r="K172" s="513">
        <v>5</v>
      </c>
      <c r="L172" s="458"/>
      <c r="M172" s="137">
        <f t="shared" si="47"/>
        <v>5</v>
      </c>
      <c r="N172" s="130">
        <v>5</v>
      </c>
      <c r="O172" s="584"/>
      <c r="P172" s="137">
        <f t="shared" si="46"/>
        <v>0</v>
      </c>
      <c r="Q172" s="712"/>
    </row>
    <row r="173" spans="1:17" s="9" customFormat="1" ht="27" customHeight="1" x14ac:dyDescent="0.25">
      <c r="A173" s="78"/>
      <c r="B173" s="132"/>
      <c r="C173" s="471" t="s">
        <v>842</v>
      </c>
      <c r="D173" s="552">
        <v>45485</v>
      </c>
      <c r="E173" s="365" t="s">
        <v>50</v>
      </c>
      <c r="F173" s="583"/>
      <c r="G173" s="426">
        <v>45363</v>
      </c>
      <c r="H173" s="457"/>
      <c r="I173" s="468" t="s">
        <v>839</v>
      </c>
      <c r="J173" s="336" t="s">
        <v>131</v>
      </c>
      <c r="K173" s="513">
        <v>2</v>
      </c>
      <c r="L173" s="458"/>
      <c r="M173" s="137">
        <f t="shared" si="47"/>
        <v>2</v>
      </c>
      <c r="N173" s="130"/>
      <c r="O173" s="584"/>
      <c r="P173" s="137">
        <f t="shared" si="46"/>
        <v>2</v>
      </c>
      <c r="Q173" s="712"/>
    </row>
    <row r="174" spans="1:17" s="9" customFormat="1" ht="27" customHeight="1" x14ac:dyDescent="0.25">
      <c r="A174" s="78"/>
      <c r="B174" s="132"/>
      <c r="C174" s="471" t="s">
        <v>967</v>
      </c>
      <c r="D174" s="552">
        <v>45457</v>
      </c>
      <c r="E174" s="365" t="s">
        <v>50</v>
      </c>
      <c r="F174" s="583"/>
      <c r="G174" s="426">
        <v>45398</v>
      </c>
      <c r="H174" s="457"/>
      <c r="I174" s="468" t="s">
        <v>968</v>
      </c>
      <c r="J174" s="336" t="s">
        <v>343</v>
      </c>
      <c r="K174" s="513">
        <v>2</v>
      </c>
      <c r="L174" s="458"/>
      <c r="M174" s="137">
        <f t="shared" ref="M174" si="49">K174</f>
        <v>2</v>
      </c>
      <c r="N174" s="130"/>
      <c r="O174" s="584"/>
      <c r="P174" s="137">
        <f t="shared" ref="P174" si="50">M174-N174</f>
        <v>2</v>
      </c>
      <c r="Q174" s="712"/>
    </row>
    <row r="175" spans="1:17" s="9" customFormat="1" ht="17.25" customHeight="1" x14ac:dyDescent="0.25">
      <c r="A175" s="97"/>
      <c r="B175" s="334" t="s">
        <v>88</v>
      </c>
      <c r="C175" s="642"/>
      <c r="D175" s="98"/>
      <c r="E175" s="99"/>
      <c r="F175" s="100"/>
      <c r="G175" s="101"/>
      <c r="H175" s="102"/>
      <c r="I175" s="103"/>
      <c r="J175" s="105"/>
      <c r="K175" s="106"/>
      <c r="L175" s="53"/>
      <c r="M175" s="54"/>
      <c r="N175" s="55"/>
      <c r="O175" s="53"/>
      <c r="P175" s="54"/>
      <c r="Q175" s="712">
        <f t="shared" si="48"/>
        <v>0</v>
      </c>
    </row>
    <row r="176" spans="1:17" s="9" customFormat="1" ht="33.75" customHeight="1" x14ac:dyDescent="0.25">
      <c r="A176" s="89"/>
      <c r="B176" s="379"/>
      <c r="C176" s="834" t="s">
        <v>980</v>
      </c>
      <c r="D176" s="717">
        <v>45489</v>
      </c>
      <c r="E176" s="428" t="s">
        <v>60</v>
      </c>
      <c r="F176" s="456"/>
      <c r="G176" s="83">
        <v>45405</v>
      </c>
      <c r="H176" s="457"/>
      <c r="I176" s="468" t="s">
        <v>975</v>
      </c>
      <c r="J176" s="336" t="s">
        <v>976</v>
      </c>
      <c r="K176" s="513">
        <v>17</v>
      </c>
      <c r="L176" s="458"/>
      <c r="M176" s="69">
        <f>K176</f>
        <v>17</v>
      </c>
      <c r="N176" s="363"/>
      <c r="O176" s="142"/>
      <c r="P176" s="87">
        <f t="shared" ref="P176" si="51">M176-N176</f>
        <v>17</v>
      </c>
      <c r="Q176" s="712"/>
    </row>
    <row r="177" spans="1:18" s="9" customFormat="1" ht="29.25" customHeight="1" x14ac:dyDescent="0.25">
      <c r="A177" s="89"/>
      <c r="B177" s="379"/>
      <c r="C177" s="835"/>
      <c r="D177" s="717">
        <v>45489</v>
      </c>
      <c r="E177" s="428" t="s">
        <v>60</v>
      </c>
      <c r="F177" s="520"/>
      <c r="G177" s="83">
        <v>45405</v>
      </c>
      <c r="H177" s="457"/>
      <c r="I177" s="468" t="s">
        <v>977</v>
      </c>
      <c r="J177" s="336" t="s">
        <v>576</v>
      </c>
      <c r="K177" s="513">
        <v>41</v>
      </c>
      <c r="L177" s="458"/>
      <c r="M177" s="69">
        <f t="shared" ref="M177:M178" si="52">K177</f>
        <v>41</v>
      </c>
      <c r="N177" s="363"/>
      <c r="O177" s="142"/>
      <c r="P177" s="87">
        <f t="shared" ref="P177:P178" si="53">M177-N177</f>
        <v>41</v>
      </c>
      <c r="Q177" s="712"/>
    </row>
    <row r="178" spans="1:18" s="9" customFormat="1" ht="28.5" customHeight="1" x14ac:dyDescent="0.25">
      <c r="A178" s="89"/>
      <c r="B178" s="379"/>
      <c r="C178" s="836"/>
      <c r="D178" s="717">
        <v>45489</v>
      </c>
      <c r="E178" s="428" t="s">
        <v>60</v>
      </c>
      <c r="F178" s="520"/>
      <c r="G178" s="83">
        <v>45405</v>
      </c>
      <c r="H178" s="457"/>
      <c r="I178" s="468" t="s">
        <v>978</v>
      </c>
      <c r="J178" s="336" t="s">
        <v>979</v>
      </c>
      <c r="K178" s="513">
        <v>3</v>
      </c>
      <c r="L178" s="458"/>
      <c r="M178" s="69">
        <f t="shared" si="52"/>
        <v>3</v>
      </c>
      <c r="N178" s="363"/>
      <c r="O178" s="142"/>
      <c r="P178" s="87">
        <f t="shared" si="53"/>
        <v>3</v>
      </c>
      <c r="Q178" s="712"/>
      <c r="R178" s="1"/>
    </row>
    <row r="179" spans="1:18" s="9" customFormat="1" ht="16.5" customHeight="1" x14ac:dyDescent="0.25">
      <c r="A179" s="97"/>
      <c r="B179" s="330" t="s">
        <v>662</v>
      </c>
      <c r="C179" s="98"/>
      <c r="D179" s="98"/>
      <c r="E179" s="99"/>
      <c r="F179" s="100"/>
      <c r="G179" s="101"/>
      <c r="H179" s="102"/>
      <c r="I179" s="103"/>
      <c r="J179" s="105"/>
      <c r="K179" s="106"/>
      <c r="L179" s="111"/>
      <c r="M179" s="54"/>
      <c r="N179" s="55"/>
      <c r="O179" s="111"/>
      <c r="P179" s="52"/>
      <c r="Q179" s="712">
        <f t="shared" si="48"/>
        <v>0</v>
      </c>
    </row>
    <row r="180" spans="1:18" s="40" customFormat="1" ht="23.25" customHeight="1" x14ac:dyDescent="0.3">
      <c r="A180" s="339" t="s">
        <v>52</v>
      </c>
      <c r="B180" s="36"/>
      <c r="C180" s="638"/>
      <c r="D180" s="38"/>
      <c r="E180" s="38"/>
      <c r="F180" s="39"/>
      <c r="G180" s="39"/>
      <c r="H180" s="155"/>
      <c r="I180" s="203"/>
      <c r="J180" s="156"/>
      <c r="K180" s="157"/>
      <c r="L180" s="155"/>
      <c r="M180" s="158"/>
      <c r="N180" s="158"/>
      <c r="O180" s="155"/>
      <c r="P180" s="158"/>
      <c r="Q180" s="712">
        <f t="shared" si="48"/>
        <v>0</v>
      </c>
    </row>
    <row r="181" spans="1:18" s="9" customFormat="1" ht="16.5" customHeight="1" x14ac:dyDescent="0.25">
      <c r="A181" s="97"/>
      <c r="B181" s="330" t="s">
        <v>61</v>
      </c>
      <c r="C181" s="642"/>
      <c r="D181" s="98"/>
      <c r="E181" s="98"/>
      <c r="F181" s="574">
        <f>SUM(F182:F182)</f>
        <v>348668.51</v>
      </c>
      <c r="G181" s="98"/>
      <c r="H181" s="102"/>
      <c r="I181" s="103"/>
      <c r="J181" s="105"/>
      <c r="K181" s="106"/>
      <c r="L181" s="53"/>
      <c r="M181" s="54"/>
      <c r="N181" s="55"/>
      <c r="O181" s="53"/>
      <c r="P181" s="54"/>
      <c r="Q181" s="712">
        <f t="shared" si="48"/>
        <v>0</v>
      </c>
    </row>
    <row r="182" spans="1:18" s="1" customFormat="1" ht="39" customHeight="1" x14ac:dyDescent="0.25">
      <c r="A182" s="333"/>
      <c r="B182" s="377"/>
      <c r="C182" s="507" t="s">
        <v>128</v>
      </c>
      <c r="D182" s="350">
        <v>44280</v>
      </c>
      <c r="E182" s="341" t="s">
        <v>50</v>
      </c>
      <c r="F182" s="573">
        <v>348668.51</v>
      </c>
      <c r="G182" s="331">
        <v>44258</v>
      </c>
      <c r="H182" s="328"/>
      <c r="I182" s="468" t="s">
        <v>81</v>
      </c>
      <c r="J182" s="482" t="s">
        <v>80</v>
      </c>
      <c r="K182" s="378">
        <v>2</v>
      </c>
      <c r="L182" s="329"/>
      <c r="M182" s="69">
        <f>K182</f>
        <v>2</v>
      </c>
      <c r="N182" s="363"/>
      <c r="O182" s="142"/>
      <c r="P182" s="87">
        <f t="shared" ref="P182:P183" si="54">M182-N182</f>
        <v>2</v>
      </c>
      <c r="Q182" s="712">
        <f t="shared" si="48"/>
        <v>0</v>
      </c>
    </row>
    <row r="183" spans="1:18" s="1" customFormat="1" ht="27" customHeight="1" x14ac:dyDescent="0.25">
      <c r="A183" s="333"/>
      <c r="B183" s="377"/>
      <c r="C183" s="522" t="s">
        <v>853</v>
      </c>
      <c r="D183" s="351">
        <v>45412</v>
      </c>
      <c r="E183" s="341" t="s">
        <v>50</v>
      </c>
      <c r="F183" s="580"/>
      <c r="G183" s="354">
        <v>45366</v>
      </c>
      <c r="H183" s="328"/>
      <c r="I183" s="468" t="s">
        <v>854</v>
      </c>
      <c r="J183" s="335" t="s">
        <v>411</v>
      </c>
      <c r="K183" s="443">
        <v>1</v>
      </c>
      <c r="L183" s="329"/>
      <c r="M183" s="87">
        <f t="shared" ref="M183" si="55">K183</f>
        <v>1</v>
      </c>
      <c r="N183" s="449"/>
      <c r="O183" s="142"/>
      <c r="P183" s="137">
        <f t="shared" si="54"/>
        <v>1</v>
      </c>
    </row>
    <row r="184" spans="1:18" s="9" customFormat="1" ht="17.25" customHeight="1" x14ac:dyDescent="0.25">
      <c r="A184" s="97"/>
      <c r="B184" s="369" t="s">
        <v>674</v>
      </c>
      <c r="C184" s="642"/>
      <c r="D184" s="98"/>
      <c r="E184" s="99"/>
      <c r="F184" s="100"/>
      <c r="G184" s="101"/>
      <c r="H184" s="102"/>
      <c r="I184" s="103"/>
      <c r="J184" s="105"/>
      <c r="K184" s="106"/>
      <c r="L184" s="53"/>
      <c r="M184" s="54"/>
      <c r="N184" s="55"/>
      <c r="O184" s="53"/>
      <c r="P184" s="54"/>
      <c r="Q184" s="712">
        <f t="shared" si="48"/>
        <v>0</v>
      </c>
    </row>
    <row r="185" spans="1:18" s="9" customFormat="1" ht="27" customHeight="1" x14ac:dyDescent="0.25">
      <c r="A185" s="78"/>
      <c r="B185" s="132"/>
      <c r="C185" s="490" t="s">
        <v>683</v>
      </c>
      <c r="D185" s="552">
        <v>45289</v>
      </c>
      <c r="E185" s="560" t="s">
        <v>50</v>
      </c>
      <c r="F185" s="583"/>
      <c r="G185" s="426">
        <v>45286</v>
      </c>
      <c r="H185" s="457"/>
      <c r="I185" s="338" t="s">
        <v>678</v>
      </c>
      <c r="J185" s="335" t="s">
        <v>679</v>
      </c>
      <c r="K185" s="454">
        <v>1</v>
      </c>
      <c r="L185" s="458"/>
      <c r="M185" s="87">
        <f t="shared" ref="M185" si="56">K185</f>
        <v>1</v>
      </c>
      <c r="N185" s="363"/>
      <c r="O185" s="142"/>
      <c r="P185" s="87">
        <f t="shared" ref="P185" si="57">M185-N185</f>
        <v>1</v>
      </c>
      <c r="Q185" s="712">
        <f t="shared" si="48"/>
        <v>0</v>
      </c>
    </row>
    <row r="186" spans="1:18" s="1" customFormat="1" ht="27" customHeight="1" x14ac:dyDescent="0.25">
      <c r="A186" s="333"/>
      <c r="B186" s="377"/>
      <c r="C186" s="522" t="s">
        <v>965</v>
      </c>
      <c r="D186" s="351">
        <v>45412</v>
      </c>
      <c r="E186" s="623" t="s">
        <v>50</v>
      </c>
      <c r="F186" s="580"/>
      <c r="G186" s="354">
        <v>45397</v>
      </c>
      <c r="H186" s="328"/>
      <c r="I186" s="338" t="s">
        <v>966</v>
      </c>
      <c r="J186" s="335" t="s">
        <v>676</v>
      </c>
      <c r="K186" s="454">
        <v>1</v>
      </c>
      <c r="L186" s="329"/>
      <c r="M186" s="87">
        <f t="shared" ref="M186" si="58">K186</f>
        <v>1</v>
      </c>
      <c r="N186" s="363"/>
      <c r="O186" s="142"/>
      <c r="P186" s="87">
        <f t="shared" ref="P186" si="59">M186-N186</f>
        <v>1</v>
      </c>
    </row>
    <row r="187" spans="1:18" s="9" customFormat="1" ht="15.75" customHeight="1" x14ac:dyDescent="0.25">
      <c r="A187" s="97"/>
      <c r="B187" s="369" t="s">
        <v>467</v>
      </c>
      <c r="C187" s="642"/>
      <c r="D187" s="98"/>
      <c r="E187" s="99"/>
      <c r="F187" s="100"/>
      <c r="G187" s="101"/>
      <c r="H187" s="102"/>
      <c r="I187" s="103"/>
      <c r="J187" s="105"/>
      <c r="K187" s="106"/>
      <c r="L187" s="53"/>
      <c r="M187" s="54"/>
      <c r="N187" s="55"/>
      <c r="O187" s="53"/>
      <c r="P187" s="54"/>
      <c r="Q187" s="712">
        <f t="shared" si="48"/>
        <v>0</v>
      </c>
    </row>
    <row r="188" spans="1:18" s="9" customFormat="1" ht="27" customHeight="1" x14ac:dyDescent="0.25">
      <c r="A188" s="78"/>
      <c r="B188" s="140"/>
      <c r="C188" s="511" t="s">
        <v>391</v>
      </c>
      <c r="D188" s="350">
        <v>45197</v>
      </c>
      <c r="E188" s="341" t="s">
        <v>60</v>
      </c>
      <c r="F188" s="380"/>
      <c r="G188" s="331">
        <v>45166</v>
      </c>
      <c r="H188" s="141"/>
      <c r="I188" s="338" t="s">
        <v>388</v>
      </c>
      <c r="J188" s="336" t="s">
        <v>385</v>
      </c>
      <c r="K188" s="470">
        <v>2</v>
      </c>
      <c r="L188" s="142"/>
      <c r="M188" s="137">
        <f>K188</f>
        <v>2</v>
      </c>
      <c r="N188" s="164"/>
      <c r="O188" s="438"/>
      <c r="P188" s="137">
        <f t="shared" ref="P188:P189" si="60">M188-N188</f>
        <v>2</v>
      </c>
      <c r="Q188" s="712">
        <f t="shared" si="48"/>
        <v>0</v>
      </c>
    </row>
    <row r="189" spans="1:18" s="9" customFormat="1" ht="27" customHeight="1" x14ac:dyDescent="0.25">
      <c r="A189" s="78"/>
      <c r="B189" s="140"/>
      <c r="C189" s="511" t="s">
        <v>392</v>
      </c>
      <c r="D189" s="350">
        <v>45197</v>
      </c>
      <c r="E189" s="341" t="s">
        <v>60</v>
      </c>
      <c r="F189" s="380"/>
      <c r="G189" s="331">
        <v>45166</v>
      </c>
      <c r="H189" s="141"/>
      <c r="I189" s="338" t="s">
        <v>389</v>
      </c>
      <c r="J189" s="336" t="s">
        <v>386</v>
      </c>
      <c r="K189" s="470">
        <v>2</v>
      </c>
      <c r="L189" s="142"/>
      <c r="M189" s="137">
        <f t="shared" ref="M189" si="61">K189</f>
        <v>2</v>
      </c>
      <c r="N189" s="164"/>
      <c r="O189" s="438"/>
      <c r="P189" s="137">
        <f t="shared" si="60"/>
        <v>2</v>
      </c>
      <c r="Q189" s="712">
        <f t="shared" si="48"/>
        <v>0</v>
      </c>
    </row>
    <row r="190" spans="1:18" s="9" customFormat="1" ht="15.75" customHeight="1" x14ac:dyDescent="0.25">
      <c r="A190" s="97"/>
      <c r="B190" s="330" t="s">
        <v>94</v>
      </c>
      <c r="C190" s="642"/>
      <c r="D190" s="98"/>
      <c r="E190" s="99"/>
      <c r="F190" s="100"/>
      <c r="G190" s="101"/>
      <c r="H190" s="102"/>
      <c r="I190" s="103"/>
      <c r="J190" s="105"/>
      <c r="K190" s="106"/>
      <c r="L190" s="53"/>
      <c r="M190" s="54"/>
      <c r="N190" s="55"/>
      <c r="O190" s="53"/>
      <c r="P190" s="54"/>
      <c r="Q190" s="712">
        <f t="shared" si="48"/>
        <v>0</v>
      </c>
    </row>
    <row r="191" spans="1:18" s="9" customFormat="1" ht="42" customHeight="1" x14ac:dyDescent="0.25">
      <c r="A191" s="78"/>
      <c r="B191" s="140"/>
      <c r="C191" s="547" t="s">
        <v>418</v>
      </c>
      <c r="D191" s="350">
        <v>45260</v>
      </c>
      <c r="E191" s="341" t="s">
        <v>50</v>
      </c>
      <c r="F191" s="380"/>
      <c r="G191" s="331">
        <v>45190</v>
      </c>
      <c r="H191" s="141"/>
      <c r="I191" s="338" t="s">
        <v>422</v>
      </c>
      <c r="J191" s="335" t="s">
        <v>423</v>
      </c>
      <c r="K191" s="86">
        <v>1</v>
      </c>
      <c r="L191" s="142"/>
      <c r="M191" s="367">
        <v>1</v>
      </c>
      <c r="N191" s="88"/>
      <c r="O191" s="142"/>
      <c r="P191" s="87">
        <f t="shared" ref="P191" si="62">K191-N191</f>
        <v>1</v>
      </c>
      <c r="Q191" s="712">
        <f t="shared" si="48"/>
        <v>0</v>
      </c>
    </row>
    <row r="192" spans="1:18" s="9" customFormat="1" ht="21" customHeight="1" x14ac:dyDescent="0.25">
      <c r="A192" s="97"/>
      <c r="B192" s="330" t="s">
        <v>66</v>
      </c>
      <c r="C192" s="642"/>
      <c r="D192" s="98"/>
      <c r="E192" s="98"/>
      <c r="F192" s="575">
        <f>F193</f>
        <v>34982.519999999997</v>
      </c>
      <c r="G192" s="101"/>
      <c r="H192" s="102"/>
      <c r="I192" s="103"/>
      <c r="J192" s="105"/>
      <c r="K192" s="106"/>
      <c r="L192" s="53"/>
      <c r="M192" s="112"/>
      <c r="N192" s="113"/>
      <c r="O192" s="53"/>
      <c r="P192" s="52"/>
      <c r="Q192" s="712">
        <f t="shared" si="48"/>
        <v>0</v>
      </c>
    </row>
    <row r="193" spans="1:17" s="9" customFormat="1" ht="27" customHeight="1" x14ac:dyDescent="0.25">
      <c r="A193" s="78"/>
      <c r="B193" s="140"/>
      <c r="C193" s="547"/>
      <c r="D193" s="350"/>
      <c r="E193" s="341" t="s">
        <v>60</v>
      </c>
      <c r="F193" s="564">
        <v>34982.519999999997</v>
      </c>
      <c r="G193" s="331">
        <v>44665</v>
      </c>
      <c r="H193" s="141"/>
      <c r="I193" s="338" t="s">
        <v>105</v>
      </c>
      <c r="J193" s="482" t="s">
        <v>106</v>
      </c>
      <c r="K193" s="86">
        <v>1</v>
      </c>
      <c r="L193" s="142"/>
      <c r="M193" s="367">
        <v>1</v>
      </c>
      <c r="N193" s="88"/>
      <c r="O193" s="142"/>
      <c r="P193" s="87">
        <f t="shared" ref="P193" si="63">K193-N193</f>
        <v>1</v>
      </c>
      <c r="Q193" s="712">
        <f t="shared" si="48"/>
        <v>0</v>
      </c>
    </row>
    <row r="194" spans="1:17" s="9" customFormat="1" ht="16.5" customHeight="1" x14ac:dyDescent="0.25">
      <c r="A194" s="97"/>
      <c r="B194" s="369" t="s">
        <v>45</v>
      </c>
      <c r="C194" s="642"/>
      <c r="D194" s="98"/>
      <c r="E194" s="99"/>
      <c r="F194" s="100"/>
      <c r="G194" s="101"/>
      <c r="H194" s="102"/>
      <c r="I194" s="103"/>
      <c r="J194" s="105"/>
      <c r="K194" s="106"/>
      <c r="L194" s="53"/>
      <c r="M194" s="71"/>
      <c r="N194" s="55"/>
      <c r="O194" s="53"/>
      <c r="P194" s="54"/>
      <c r="Q194" s="712">
        <f t="shared" si="48"/>
        <v>0</v>
      </c>
    </row>
    <row r="195" spans="1:17" s="9" customFormat="1" ht="41.25" customHeight="1" x14ac:dyDescent="0.25">
      <c r="A195" s="375"/>
      <c r="B195" s="208"/>
      <c r="C195" s="548" t="s">
        <v>528</v>
      </c>
      <c r="D195" s="350"/>
      <c r="E195" s="337" t="s">
        <v>273</v>
      </c>
      <c r="F195" s="364"/>
      <c r="G195" s="390"/>
      <c r="H195" s="439"/>
      <c r="I195" s="338" t="s">
        <v>459</v>
      </c>
      <c r="J195" s="336" t="s">
        <v>458</v>
      </c>
      <c r="K195" s="406">
        <v>1</v>
      </c>
      <c r="L195" s="161"/>
      <c r="M195" s="137">
        <v>1</v>
      </c>
      <c r="N195" s="164"/>
      <c r="O195" s="438"/>
      <c r="P195" s="137">
        <f t="shared" ref="P195" si="64">M195-N195</f>
        <v>1</v>
      </c>
      <c r="Q195" s="712">
        <f t="shared" si="48"/>
        <v>0</v>
      </c>
    </row>
    <row r="196" spans="1:17" s="9" customFormat="1" ht="20.25" customHeight="1" x14ac:dyDescent="0.25">
      <c r="A196" s="97"/>
      <c r="B196" s="462" t="s">
        <v>886</v>
      </c>
      <c r="C196" s="642"/>
      <c r="D196" s="98"/>
      <c r="E196" s="99"/>
      <c r="F196" s="575">
        <f>SUM(F208:F209)</f>
        <v>0</v>
      </c>
      <c r="G196" s="101"/>
      <c r="H196" s="463"/>
      <c r="I196" s="103"/>
      <c r="J196" s="105"/>
      <c r="K196" s="106"/>
      <c r="L196" s="464"/>
      <c r="M196" s="71"/>
      <c r="N196" s="55"/>
      <c r="O196" s="464"/>
      <c r="P196" s="465"/>
      <c r="Q196" s="712">
        <f t="shared" si="48"/>
        <v>0</v>
      </c>
    </row>
    <row r="197" spans="1:17" s="9" customFormat="1" ht="27" customHeight="1" x14ac:dyDescent="0.25">
      <c r="A197" s="78"/>
      <c r="B197" s="140"/>
      <c r="C197" s="511"/>
      <c r="D197" s="350"/>
      <c r="E197" s="341" t="s">
        <v>91</v>
      </c>
      <c r="F197" s="380"/>
      <c r="G197" s="331">
        <v>45378</v>
      </c>
      <c r="H197" s="141"/>
      <c r="I197" s="338" t="s">
        <v>887</v>
      </c>
      <c r="J197" s="336" t="s">
        <v>889</v>
      </c>
      <c r="K197" s="470">
        <v>1</v>
      </c>
      <c r="L197" s="142"/>
      <c r="M197" s="137">
        <f>K197</f>
        <v>1</v>
      </c>
      <c r="N197" s="164"/>
      <c r="O197" s="438"/>
      <c r="P197" s="137">
        <f t="shared" ref="P197:P198" si="65">M197-N197</f>
        <v>1</v>
      </c>
      <c r="Q197" s="712"/>
    </row>
    <row r="198" spans="1:17" s="9" customFormat="1" ht="27" customHeight="1" x14ac:dyDescent="0.25">
      <c r="A198" s="78"/>
      <c r="B198" s="140"/>
      <c r="C198" s="511"/>
      <c r="D198" s="350"/>
      <c r="E198" s="341" t="s">
        <v>91</v>
      </c>
      <c r="F198" s="380"/>
      <c r="G198" s="331">
        <v>45378</v>
      </c>
      <c r="H198" s="141"/>
      <c r="I198" s="338" t="s">
        <v>888</v>
      </c>
      <c r="J198" s="336" t="s">
        <v>890</v>
      </c>
      <c r="K198" s="470">
        <v>1</v>
      </c>
      <c r="L198" s="142"/>
      <c r="M198" s="137">
        <f t="shared" ref="M198" si="66">K198</f>
        <v>1</v>
      </c>
      <c r="N198" s="164"/>
      <c r="O198" s="438"/>
      <c r="P198" s="137">
        <f t="shared" si="65"/>
        <v>1</v>
      </c>
      <c r="Q198" s="712"/>
    </row>
    <row r="199" spans="1:17" s="9" customFormat="1" ht="16.5" customHeight="1" x14ac:dyDescent="0.25">
      <c r="A199" s="97"/>
      <c r="B199" s="334" t="s">
        <v>63</v>
      </c>
      <c r="C199" s="642"/>
      <c r="D199" s="98"/>
      <c r="E199" s="99"/>
      <c r="F199" s="575">
        <f>SUM(F200:F202)</f>
        <v>3505093.96</v>
      </c>
      <c r="G199" s="101"/>
      <c r="H199" s="102"/>
      <c r="I199" s="819" t="s">
        <v>770</v>
      </c>
      <c r="J199" s="820"/>
      <c r="K199" s="821"/>
      <c r="L199" s="53"/>
      <c r="M199" s="417"/>
      <c r="N199" s="418"/>
      <c r="O199" s="53"/>
      <c r="P199" s="54"/>
      <c r="Q199" s="712">
        <f t="shared" si="48"/>
        <v>0</v>
      </c>
    </row>
    <row r="200" spans="1:17" s="9" customFormat="1" ht="27.75" customHeight="1" x14ac:dyDescent="0.25">
      <c r="A200" s="78"/>
      <c r="B200" s="79"/>
      <c r="C200" s="466"/>
      <c r="D200" s="426">
        <v>44620</v>
      </c>
      <c r="E200" s="341" t="s">
        <v>120</v>
      </c>
      <c r="F200" s="567">
        <v>1339143.51</v>
      </c>
      <c r="G200" s="94">
        <v>44902</v>
      </c>
      <c r="H200" s="429"/>
      <c r="I200" s="468" t="s">
        <v>140</v>
      </c>
      <c r="J200" s="336" t="s">
        <v>127</v>
      </c>
      <c r="K200" s="453">
        <v>1</v>
      </c>
      <c r="L200" s="430"/>
      <c r="M200" s="87">
        <f t="shared" ref="M200:M201" si="67">K200</f>
        <v>1</v>
      </c>
      <c r="N200" s="485"/>
      <c r="O200" s="430"/>
      <c r="P200" s="87">
        <f t="shared" ref="P200:P201" si="68">K200-N200</f>
        <v>1</v>
      </c>
      <c r="Q200" s="712">
        <f t="shared" si="48"/>
        <v>0</v>
      </c>
    </row>
    <row r="201" spans="1:17" s="9" customFormat="1" ht="27.75" customHeight="1" x14ac:dyDescent="0.25">
      <c r="A201" s="78"/>
      <c r="B201" s="79"/>
      <c r="C201" s="466"/>
      <c r="D201" s="426">
        <v>45229</v>
      </c>
      <c r="E201" s="341" t="s">
        <v>120</v>
      </c>
      <c r="F201" s="567">
        <v>134345.17000000001</v>
      </c>
      <c r="G201" s="94">
        <v>45175</v>
      </c>
      <c r="H201" s="429"/>
      <c r="I201" s="468" t="s">
        <v>413</v>
      </c>
      <c r="J201" s="481" t="s">
        <v>412</v>
      </c>
      <c r="K201" s="453">
        <v>1</v>
      </c>
      <c r="L201" s="430"/>
      <c r="M201" s="87">
        <f t="shared" si="67"/>
        <v>1</v>
      </c>
      <c r="N201" s="485"/>
      <c r="O201" s="430"/>
      <c r="P201" s="87">
        <f t="shared" si="68"/>
        <v>1</v>
      </c>
      <c r="Q201" s="712">
        <f t="shared" si="48"/>
        <v>0</v>
      </c>
    </row>
    <row r="202" spans="1:17" s="9" customFormat="1" ht="34.5" customHeight="1" x14ac:dyDescent="0.25">
      <c r="A202" s="78"/>
      <c r="B202" s="79"/>
      <c r="C202" s="511" t="s">
        <v>136</v>
      </c>
      <c r="D202" s="426">
        <v>44591</v>
      </c>
      <c r="E202" s="341" t="s">
        <v>120</v>
      </c>
      <c r="F202" s="567">
        <v>2031605.28</v>
      </c>
      <c r="G202" s="94">
        <v>44889</v>
      </c>
      <c r="H202" s="429"/>
      <c r="I202" s="468" t="s">
        <v>137</v>
      </c>
      <c r="J202" s="336" t="s">
        <v>135</v>
      </c>
      <c r="K202" s="453">
        <v>2</v>
      </c>
      <c r="L202" s="430"/>
      <c r="M202" s="87">
        <v>1</v>
      </c>
      <c r="N202" s="485"/>
      <c r="O202" s="430"/>
      <c r="P202" s="87">
        <f>M202-N202</f>
        <v>1</v>
      </c>
      <c r="Q202" s="712">
        <f t="shared" si="48"/>
        <v>0</v>
      </c>
    </row>
    <row r="203" spans="1:17" s="9" customFormat="1" ht="16.5" customHeight="1" x14ac:dyDescent="0.25">
      <c r="A203" s="97"/>
      <c r="B203" s="334" t="s">
        <v>922</v>
      </c>
      <c r="C203" s="642"/>
      <c r="D203" s="98"/>
      <c r="E203" s="99"/>
      <c r="F203" s="100"/>
      <c r="G203" s="101"/>
      <c r="H203" s="102"/>
      <c r="I203" s="103"/>
      <c r="J203" s="105"/>
      <c r="K203" s="106"/>
      <c r="L203" s="53"/>
      <c r="M203" s="49"/>
      <c r="N203" s="55"/>
      <c r="O203" s="53"/>
      <c r="P203" s="54"/>
      <c r="Q203" s="712">
        <f t="shared" si="48"/>
        <v>0</v>
      </c>
    </row>
    <row r="204" spans="1:17" s="9" customFormat="1" ht="27.75" customHeight="1" x14ac:dyDescent="0.25">
      <c r="A204" s="78"/>
      <c r="B204" s="79"/>
      <c r="C204" s="833" t="s">
        <v>929</v>
      </c>
      <c r="D204" s="426">
        <v>45470</v>
      </c>
      <c r="E204" s="341" t="s">
        <v>50</v>
      </c>
      <c r="F204" s="567"/>
      <c r="G204" s="94">
        <v>45387</v>
      </c>
      <c r="H204" s="429"/>
      <c r="I204" s="468" t="s">
        <v>926</v>
      </c>
      <c r="J204" s="336" t="s">
        <v>923</v>
      </c>
      <c r="K204" s="453">
        <v>1</v>
      </c>
      <c r="L204" s="430"/>
      <c r="M204" s="87">
        <f t="shared" ref="M204:M205" si="69">K204</f>
        <v>1</v>
      </c>
      <c r="N204" s="485"/>
      <c r="O204" s="430"/>
      <c r="P204" s="87">
        <f t="shared" ref="P204:P205" si="70">K204-N204</f>
        <v>1</v>
      </c>
      <c r="Q204" s="712"/>
    </row>
    <row r="205" spans="1:17" s="9" customFormat="1" ht="27.75" customHeight="1" x14ac:dyDescent="0.25">
      <c r="A205" s="78"/>
      <c r="B205" s="79"/>
      <c r="C205" s="791"/>
      <c r="D205" s="426">
        <v>45470</v>
      </c>
      <c r="E205" s="341" t="s">
        <v>50</v>
      </c>
      <c r="F205" s="567"/>
      <c r="G205" s="94">
        <v>45387</v>
      </c>
      <c r="H205" s="429"/>
      <c r="I205" s="468" t="s">
        <v>927</v>
      </c>
      <c r="J205" s="336" t="s">
        <v>924</v>
      </c>
      <c r="K205" s="453">
        <v>1</v>
      </c>
      <c r="L205" s="430"/>
      <c r="M205" s="87">
        <f t="shared" si="69"/>
        <v>1</v>
      </c>
      <c r="N205" s="485"/>
      <c r="O205" s="430"/>
      <c r="P205" s="87">
        <f t="shared" si="70"/>
        <v>1</v>
      </c>
      <c r="Q205" s="712"/>
    </row>
    <row r="206" spans="1:17" s="9" customFormat="1" ht="34.5" customHeight="1" x14ac:dyDescent="0.25">
      <c r="A206" s="78"/>
      <c r="B206" s="79"/>
      <c r="C206" s="818"/>
      <c r="D206" s="426">
        <v>45470</v>
      </c>
      <c r="E206" s="341" t="s">
        <v>50</v>
      </c>
      <c r="F206" s="567"/>
      <c r="G206" s="94">
        <v>45387</v>
      </c>
      <c r="H206" s="429"/>
      <c r="I206" s="468" t="s">
        <v>928</v>
      </c>
      <c r="J206" s="336" t="s">
        <v>925</v>
      </c>
      <c r="K206" s="453">
        <v>1</v>
      </c>
      <c r="L206" s="430"/>
      <c r="M206" s="87">
        <v>1</v>
      </c>
      <c r="N206" s="485"/>
      <c r="O206" s="430"/>
      <c r="P206" s="87">
        <f>M206-N206</f>
        <v>1</v>
      </c>
      <c r="Q206" s="712"/>
    </row>
    <row r="207" spans="1:17" s="9" customFormat="1" ht="16.5" customHeight="1" x14ac:dyDescent="0.25">
      <c r="A207" s="97"/>
      <c r="B207" s="369" t="s">
        <v>775</v>
      </c>
      <c r="C207" s="642"/>
      <c r="D207" s="98"/>
      <c r="E207" s="99"/>
      <c r="F207" s="100"/>
      <c r="G207" s="101"/>
      <c r="H207" s="102"/>
      <c r="I207" s="103"/>
      <c r="J207" s="105"/>
      <c r="K207" s="106"/>
      <c r="L207" s="53"/>
      <c r="M207" s="49"/>
      <c r="N207" s="55"/>
      <c r="O207" s="53"/>
      <c r="P207" s="54"/>
      <c r="Q207" s="712">
        <f t="shared" si="48"/>
        <v>0</v>
      </c>
    </row>
    <row r="208" spans="1:17" s="9" customFormat="1" ht="30" customHeight="1" x14ac:dyDescent="0.25">
      <c r="A208" s="375"/>
      <c r="B208" s="208"/>
      <c r="C208" s="799" t="s">
        <v>602</v>
      </c>
      <c r="D208" s="80">
        <v>45342</v>
      </c>
      <c r="E208" s="337" t="s">
        <v>103</v>
      </c>
      <c r="F208" s="599" t="s">
        <v>601</v>
      </c>
      <c r="G208" s="390">
        <v>44766</v>
      </c>
      <c r="H208" s="439"/>
      <c r="I208" s="555" t="s">
        <v>104</v>
      </c>
      <c r="J208" s="481" t="s">
        <v>603</v>
      </c>
      <c r="K208" s="406">
        <v>1</v>
      </c>
      <c r="L208" s="161"/>
      <c r="M208" s="137">
        <v>1</v>
      </c>
      <c r="N208" s="164"/>
      <c r="O208" s="438"/>
      <c r="P208" s="137">
        <f t="shared" ref="P208:P211" si="71">M208-N208</f>
        <v>1</v>
      </c>
      <c r="Q208" s="712">
        <f t="shared" si="48"/>
        <v>0</v>
      </c>
    </row>
    <row r="209" spans="1:17" s="9" customFormat="1" ht="24.75" customHeight="1" x14ac:dyDescent="0.25">
      <c r="A209" s="375"/>
      <c r="B209" s="208"/>
      <c r="C209" s="788"/>
      <c r="D209" s="350">
        <v>45342</v>
      </c>
      <c r="E209" s="337" t="s">
        <v>60</v>
      </c>
      <c r="F209" s="599" t="s">
        <v>601</v>
      </c>
      <c r="G209" s="390">
        <v>44851</v>
      </c>
      <c r="H209" s="439"/>
      <c r="I209" s="555" t="s">
        <v>87</v>
      </c>
      <c r="J209" s="481" t="s">
        <v>604</v>
      </c>
      <c r="K209" s="406">
        <v>1</v>
      </c>
      <c r="L209" s="161"/>
      <c r="M209" s="137">
        <f>K209</f>
        <v>1</v>
      </c>
      <c r="N209" s="164"/>
      <c r="O209" s="438"/>
      <c r="P209" s="137">
        <f t="shared" si="71"/>
        <v>1</v>
      </c>
      <c r="Q209" s="712">
        <f t="shared" si="48"/>
        <v>0</v>
      </c>
    </row>
    <row r="210" spans="1:17" s="9" customFormat="1" ht="24.75" customHeight="1" x14ac:dyDescent="0.25">
      <c r="A210" s="89"/>
      <c r="B210" s="379"/>
      <c r="C210" s="790" t="s">
        <v>780</v>
      </c>
      <c r="D210" s="350">
        <v>45422</v>
      </c>
      <c r="E210" s="337" t="s">
        <v>60</v>
      </c>
      <c r="F210" s="697"/>
      <c r="G210" s="390">
        <v>45335</v>
      </c>
      <c r="H210" s="114"/>
      <c r="I210" s="600" t="s">
        <v>776</v>
      </c>
      <c r="J210" s="714" t="s">
        <v>777</v>
      </c>
      <c r="K210" s="715">
        <v>1</v>
      </c>
      <c r="L210" s="115"/>
      <c r="M210" s="137">
        <f t="shared" ref="M210:M211" si="72">K210</f>
        <v>1</v>
      </c>
      <c r="N210" s="164"/>
      <c r="O210" s="438"/>
      <c r="P210" s="137">
        <f t="shared" si="71"/>
        <v>1</v>
      </c>
      <c r="Q210" s="712">
        <f t="shared" si="48"/>
        <v>0</v>
      </c>
    </row>
    <row r="211" spans="1:17" s="9" customFormat="1" ht="24.75" customHeight="1" x14ac:dyDescent="0.25">
      <c r="A211" s="698"/>
      <c r="B211" s="699"/>
      <c r="C211" s="818"/>
      <c r="D211" s="701">
        <v>45422</v>
      </c>
      <c r="E211" s="337" t="s">
        <v>60</v>
      </c>
      <c r="F211" s="700"/>
      <c r="G211" s="390">
        <v>45335</v>
      </c>
      <c r="H211" s="114"/>
      <c r="I211" s="696" t="s">
        <v>778</v>
      </c>
      <c r="J211" s="538" t="s">
        <v>779</v>
      </c>
      <c r="K211" s="470">
        <v>2</v>
      </c>
      <c r="L211" s="115"/>
      <c r="M211" s="137">
        <f t="shared" si="72"/>
        <v>2</v>
      </c>
      <c r="N211" s="164"/>
      <c r="O211" s="438"/>
      <c r="P211" s="137">
        <f t="shared" si="71"/>
        <v>2</v>
      </c>
      <c r="Q211" s="712">
        <f t="shared" si="48"/>
        <v>0</v>
      </c>
    </row>
    <row r="212" spans="1:17" s="9" customFormat="1" ht="16.5" customHeight="1" x14ac:dyDescent="0.25">
      <c r="A212" s="97"/>
      <c r="B212" s="334" t="s">
        <v>662</v>
      </c>
      <c r="C212" s="642"/>
      <c r="D212" s="98"/>
      <c r="E212" s="99"/>
      <c r="F212" s="100"/>
      <c r="G212" s="101"/>
      <c r="H212" s="102"/>
      <c r="I212" s="103"/>
      <c r="J212" s="105"/>
      <c r="K212" s="106"/>
      <c r="L212" s="53"/>
      <c r="M212" s="49"/>
      <c r="N212" s="55"/>
      <c r="O212" s="53"/>
      <c r="P212" s="54"/>
      <c r="Q212" s="712">
        <f t="shared" si="48"/>
        <v>0</v>
      </c>
    </row>
    <row r="213" spans="1:17" s="1" customFormat="1" ht="27" customHeight="1" x14ac:dyDescent="0.25">
      <c r="A213" s="333"/>
      <c r="B213" s="377"/>
      <c r="C213" s="791"/>
      <c r="D213" s="350">
        <v>45432</v>
      </c>
      <c r="E213" s="428" t="s">
        <v>91</v>
      </c>
      <c r="F213" s="445"/>
      <c r="G213" s="354">
        <v>45401</v>
      </c>
      <c r="H213" s="421"/>
      <c r="I213" s="338" t="s">
        <v>972</v>
      </c>
      <c r="J213" s="336" t="s">
        <v>969</v>
      </c>
      <c r="K213" s="440">
        <v>1</v>
      </c>
      <c r="L213" s="444"/>
      <c r="M213" s="137">
        <v>1</v>
      </c>
      <c r="N213" s="164"/>
      <c r="O213" s="438"/>
      <c r="P213" s="137">
        <f t="shared" ref="P213:P215" si="73">M213-N213</f>
        <v>1</v>
      </c>
      <c r="Q213" s="712"/>
    </row>
    <row r="214" spans="1:17" s="1" customFormat="1" ht="27" customHeight="1" x14ac:dyDescent="0.25">
      <c r="A214" s="333"/>
      <c r="B214" s="377"/>
      <c r="C214" s="791"/>
      <c r="D214" s="350">
        <v>45463</v>
      </c>
      <c r="E214" s="428" t="s">
        <v>91</v>
      </c>
      <c r="F214" s="445"/>
      <c r="G214" s="354">
        <v>45401</v>
      </c>
      <c r="H214" s="421"/>
      <c r="I214" s="338" t="s">
        <v>973</v>
      </c>
      <c r="J214" s="336" t="s">
        <v>970</v>
      </c>
      <c r="K214" s="440">
        <v>1</v>
      </c>
      <c r="L214" s="444"/>
      <c r="M214" s="137">
        <f>K214</f>
        <v>1</v>
      </c>
      <c r="N214" s="164"/>
      <c r="O214" s="438"/>
      <c r="P214" s="137">
        <f t="shared" si="73"/>
        <v>1</v>
      </c>
      <c r="Q214" s="712"/>
    </row>
    <row r="215" spans="1:17" s="1" customFormat="1" ht="27" customHeight="1" x14ac:dyDescent="0.25">
      <c r="A215" s="333"/>
      <c r="B215" s="377"/>
      <c r="C215" s="791"/>
      <c r="D215" s="350">
        <v>45493</v>
      </c>
      <c r="E215" s="428" t="s">
        <v>91</v>
      </c>
      <c r="F215" s="445"/>
      <c r="G215" s="354">
        <v>45401</v>
      </c>
      <c r="H215" s="421"/>
      <c r="I215" s="338" t="s">
        <v>974</v>
      </c>
      <c r="J215" s="336" t="s">
        <v>971</v>
      </c>
      <c r="K215" s="440">
        <v>1</v>
      </c>
      <c r="L215" s="444"/>
      <c r="M215" s="137">
        <f t="shared" ref="M215" si="74">K215</f>
        <v>1</v>
      </c>
      <c r="N215" s="164"/>
      <c r="O215" s="438"/>
      <c r="P215" s="137">
        <f t="shared" si="73"/>
        <v>1</v>
      </c>
      <c r="Q215" s="712"/>
    </row>
    <row r="216" spans="1:17" s="9" customFormat="1" ht="15.75" customHeight="1" x14ac:dyDescent="0.25">
      <c r="A216" s="97"/>
      <c r="B216" s="334" t="s">
        <v>71</v>
      </c>
      <c r="C216" s="642"/>
      <c r="D216" s="98"/>
      <c r="E216" s="99"/>
      <c r="F216" s="100"/>
      <c r="G216" s="101"/>
      <c r="H216" s="102"/>
      <c r="I216" s="103"/>
      <c r="J216" s="104"/>
      <c r="K216" s="105"/>
      <c r="L216" s="106"/>
      <c r="M216" s="49"/>
      <c r="N216" s="55"/>
      <c r="O216" s="53"/>
      <c r="P216" s="54"/>
      <c r="Q216" s="712">
        <f t="shared" si="48"/>
        <v>0</v>
      </c>
    </row>
    <row r="217" spans="1:17" s="1" customFormat="1" ht="27" customHeight="1" x14ac:dyDescent="0.25">
      <c r="A217" s="333"/>
      <c r="B217" s="377"/>
      <c r="C217" s="471"/>
      <c r="D217" s="350"/>
      <c r="E217" s="428" t="s">
        <v>60</v>
      </c>
      <c r="F217" s="445"/>
      <c r="G217" s="354"/>
      <c r="H217" s="421"/>
      <c r="I217" s="338" t="s">
        <v>85</v>
      </c>
      <c r="J217" s="336" t="s">
        <v>77</v>
      </c>
      <c r="K217" s="440">
        <v>0</v>
      </c>
      <c r="L217" s="444"/>
      <c r="M217" s="441">
        <f>K217</f>
        <v>0</v>
      </c>
      <c r="N217" s="427">
        <v>63</v>
      </c>
      <c r="O217" s="142"/>
      <c r="P217" s="352">
        <f>M217-N217</f>
        <v>-63</v>
      </c>
      <c r="Q217" s="712">
        <f t="shared" si="48"/>
        <v>63</v>
      </c>
    </row>
    <row r="218" spans="1:17" s="56" customFormat="1" ht="18" customHeight="1" x14ac:dyDescent="0.25">
      <c r="A218" s="41"/>
      <c r="B218" s="330" t="s">
        <v>89</v>
      </c>
      <c r="C218" s="642"/>
      <c r="D218" s="44"/>
      <c r="E218" s="45"/>
      <c r="F218" s="46"/>
      <c r="G218" s="47"/>
      <c r="H218" s="48"/>
      <c r="I218" s="49"/>
      <c r="J218" s="50"/>
      <c r="K218" s="51"/>
      <c r="L218" s="53"/>
      <c r="M218" s="49"/>
      <c r="N218" s="55"/>
      <c r="O218" s="53"/>
      <c r="P218" s="54"/>
      <c r="Q218" s="712">
        <f t="shared" si="48"/>
        <v>0</v>
      </c>
    </row>
    <row r="219" spans="1:17" s="1" customFormat="1" ht="27" customHeight="1" x14ac:dyDescent="0.25">
      <c r="A219" s="333"/>
      <c r="B219" s="377"/>
      <c r="C219" s="791"/>
      <c r="D219" s="350">
        <v>44643</v>
      </c>
      <c r="E219" s="428" t="s">
        <v>91</v>
      </c>
      <c r="F219" s="445"/>
      <c r="G219" s="354">
        <v>44623</v>
      </c>
      <c r="H219" s="421"/>
      <c r="I219" s="338" t="s">
        <v>99</v>
      </c>
      <c r="J219" s="336" t="s">
        <v>96</v>
      </c>
      <c r="K219" s="440">
        <v>1</v>
      </c>
      <c r="L219" s="444"/>
      <c r="M219" s="441">
        <f t="shared" ref="M219:M221" si="75">K219</f>
        <v>1</v>
      </c>
      <c r="N219" s="427"/>
      <c r="O219" s="142"/>
      <c r="P219" s="352">
        <f t="shared" ref="P219:P221" si="76">M219-N219</f>
        <v>1</v>
      </c>
      <c r="Q219" s="712">
        <f t="shared" si="48"/>
        <v>0</v>
      </c>
    </row>
    <row r="220" spans="1:17" s="1" customFormat="1" ht="27" customHeight="1" x14ac:dyDescent="0.25">
      <c r="A220" s="333"/>
      <c r="B220" s="377"/>
      <c r="C220" s="791"/>
      <c r="D220" s="350">
        <v>44643</v>
      </c>
      <c r="E220" s="428" t="s">
        <v>91</v>
      </c>
      <c r="F220" s="445"/>
      <c r="G220" s="354">
        <v>44623</v>
      </c>
      <c r="H220" s="421"/>
      <c r="I220" s="338" t="s">
        <v>100</v>
      </c>
      <c r="J220" s="336" t="s">
        <v>97</v>
      </c>
      <c r="K220" s="440">
        <v>1</v>
      </c>
      <c r="L220" s="444"/>
      <c r="M220" s="441">
        <f t="shared" si="75"/>
        <v>1</v>
      </c>
      <c r="N220" s="427"/>
      <c r="O220" s="142"/>
      <c r="P220" s="352">
        <f t="shared" si="76"/>
        <v>1</v>
      </c>
      <c r="Q220" s="712">
        <f t="shared" si="48"/>
        <v>0</v>
      </c>
    </row>
    <row r="221" spans="1:17" s="1" customFormat="1" ht="27" customHeight="1" x14ac:dyDescent="0.25">
      <c r="A221" s="333"/>
      <c r="B221" s="377"/>
      <c r="C221" s="791"/>
      <c r="D221" s="350">
        <v>44643</v>
      </c>
      <c r="E221" s="428" t="s">
        <v>91</v>
      </c>
      <c r="F221" s="445"/>
      <c r="G221" s="354">
        <v>44623</v>
      </c>
      <c r="H221" s="421"/>
      <c r="I221" s="338" t="s">
        <v>101</v>
      </c>
      <c r="J221" s="336" t="s">
        <v>98</v>
      </c>
      <c r="K221" s="440">
        <v>1</v>
      </c>
      <c r="L221" s="444"/>
      <c r="M221" s="441">
        <f t="shared" si="75"/>
        <v>1</v>
      </c>
      <c r="N221" s="427"/>
      <c r="O221" s="142"/>
      <c r="P221" s="352">
        <f t="shared" si="76"/>
        <v>1</v>
      </c>
      <c r="Q221" s="712">
        <f t="shared" si="48"/>
        <v>0</v>
      </c>
    </row>
    <row r="222" spans="1:17" s="56" customFormat="1" ht="18" customHeight="1" x14ac:dyDescent="0.25">
      <c r="A222" s="41"/>
      <c r="B222" s="330" t="s">
        <v>69</v>
      </c>
      <c r="C222" s="642"/>
      <c r="D222" s="44"/>
      <c r="E222" s="45"/>
      <c r="F222" s="46"/>
      <c r="G222" s="47"/>
      <c r="H222" s="48"/>
      <c r="I222" s="49"/>
      <c r="J222" s="50"/>
      <c r="K222" s="51"/>
      <c r="L222" s="53"/>
      <c r="M222" s="49"/>
      <c r="N222" s="55"/>
      <c r="O222" s="53"/>
      <c r="P222" s="54"/>
      <c r="Q222" s="712">
        <f t="shared" ref="Q222:Q280" si="77">M222-P222</f>
        <v>0</v>
      </c>
    </row>
    <row r="223" spans="1:17" s="9" customFormat="1" ht="55.5" customHeight="1" x14ac:dyDescent="0.25">
      <c r="A223" s="78"/>
      <c r="B223" s="79"/>
      <c r="C223" s="597" t="s">
        <v>639</v>
      </c>
      <c r="D223" s="426">
        <v>45396</v>
      </c>
      <c r="E223" s="341" t="s">
        <v>50</v>
      </c>
      <c r="F223" s="594"/>
      <c r="G223" s="94">
        <v>45267</v>
      </c>
      <c r="H223" s="429"/>
      <c r="I223" s="468" t="s">
        <v>640</v>
      </c>
      <c r="J223" s="336" t="s">
        <v>638</v>
      </c>
      <c r="K223" s="453">
        <v>1</v>
      </c>
      <c r="L223" s="430"/>
      <c r="M223" s="441">
        <f t="shared" ref="M223" si="78">K223</f>
        <v>1</v>
      </c>
      <c r="N223" s="427">
        <v>1</v>
      </c>
      <c r="O223" s="142"/>
      <c r="P223" s="352">
        <f t="shared" ref="P223" si="79">M223-N223</f>
        <v>0</v>
      </c>
      <c r="Q223" s="712">
        <f t="shared" si="77"/>
        <v>1</v>
      </c>
    </row>
    <row r="224" spans="1:17" s="9" customFormat="1" ht="20.25" customHeight="1" x14ac:dyDescent="0.25">
      <c r="A224" s="97"/>
      <c r="B224" s="330" t="s">
        <v>855</v>
      </c>
      <c r="C224" s="642"/>
      <c r="D224" s="98"/>
      <c r="E224" s="99"/>
      <c r="F224" s="100"/>
      <c r="G224" s="101"/>
      <c r="H224" s="102"/>
      <c r="I224" s="103"/>
      <c r="J224" s="105"/>
      <c r="K224" s="106"/>
      <c r="L224" s="53"/>
      <c r="M224" s="49"/>
      <c r="N224" s="55"/>
      <c r="O224" s="53"/>
      <c r="P224" s="54"/>
      <c r="Q224" s="712">
        <f t="shared" si="77"/>
        <v>0</v>
      </c>
    </row>
    <row r="225" spans="1:17" s="1" customFormat="1" ht="38.25" customHeight="1" x14ac:dyDescent="0.25">
      <c r="A225" s="539"/>
      <c r="B225" s="540"/>
      <c r="C225" s="472"/>
      <c r="D225" s="350"/>
      <c r="E225" s="341" t="s">
        <v>706</v>
      </c>
      <c r="F225" s="542"/>
      <c r="G225" s="331">
        <v>45369</v>
      </c>
      <c r="H225" s="541"/>
      <c r="I225" s="338" t="s">
        <v>856</v>
      </c>
      <c r="J225" s="336" t="s">
        <v>857</v>
      </c>
      <c r="K225" s="470">
        <v>1</v>
      </c>
      <c r="L225" s="543"/>
      <c r="M225" s="441">
        <f t="shared" ref="M225" si="80">K225</f>
        <v>1</v>
      </c>
      <c r="N225" s="427">
        <v>1</v>
      </c>
      <c r="O225" s="142"/>
      <c r="P225" s="352">
        <f t="shared" ref="P225" si="81">M225-N225</f>
        <v>0</v>
      </c>
      <c r="Q225" s="712"/>
    </row>
    <row r="226" spans="1:17" s="56" customFormat="1" ht="18.75" customHeight="1" x14ac:dyDescent="0.25">
      <c r="A226" s="41"/>
      <c r="B226" s="330" t="s">
        <v>342</v>
      </c>
      <c r="C226" s="642"/>
      <c r="D226" s="44"/>
      <c r="E226" s="44"/>
      <c r="F226" s="46"/>
      <c r="G226" s="47"/>
      <c r="H226" s="48"/>
      <c r="I226" s="49"/>
      <c r="J226" s="50"/>
      <c r="K226" s="51"/>
      <c r="L226" s="53"/>
      <c r="M226" s="49"/>
      <c r="N226" s="55"/>
      <c r="O226" s="53"/>
      <c r="P226" s="54"/>
      <c r="Q226" s="712">
        <f t="shared" si="77"/>
        <v>0</v>
      </c>
    </row>
    <row r="227" spans="1:17" s="1" customFormat="1" ht="38.25" customHeight="1" x14ac:dyDescent="0.25">
      <c r="A227" s="539"/>
      <c r="B227" s="540"/>
      <c r="C227" s="472"/>
      <c r="D227" s="350"/>
      <c r="E227" s="341" t="s">
        <v>919</v>
      </c>
      <c r="F227" s="542"/>
      <c r="G227" s="331"/>
      <c r="H227" s="541"/>
      <c r="I227" s="338" t="s">
        <v>918</v>
      </c>
      <c r="J227" s="336" t="s">
        <v>915</v>
      </c>
      <c r="K227" s="470">
        <v>2</v>
      </c>
      <c r="L227" s="543"/>
      <c r="M227" s="441">
        <v>2</v>
      </c>
      <c r="N227" s="728">
        <v>2</v>
      </c>
      <c r="O227" s="142"/>
      <c r="P227" s="352"/>
      <c r="Q227" s="712"/>
    </row>
    <row r="228" spans="1:17" s="154" customFormat="1" ht="27.75" customHeight="1" x14ac:dyDescent="0.25">
      <c r="A228" s="143" t="s">
        <v>3</v>
      </c>
      <c r="B228" s="144"/>
      <c r="C228" s="150"/>
      <c r="D228" s="146"/>
      <c r="E228" s="146"/>
      <c r="F228" s="147"/>
      <c r="G228" s="147"/>
      <c r="H228" s="370"/>
      <c r="I228" s="149"/>
      <c r="J228" s="184"/>
      <c r="K228" s="150"/>
      <c r="L228" s="152"/>
      <c r="M228" s="153"/>
      <c r="N228" s="151"/>
      <c r="O228" s="152"/>
      <c r="P228" s="153"/>
      <c r="Q228" s="712">
        <f t="shared" si="77"/>
        <v>0</v>
      </c>
    </row>
    <row r="229" spans="1:17" s="40" customFormat="1" ht="24" customHeight="1" x14ac:dyDescent="0.3">
      <c r="A229" s="339" t="s">
        <v>55</v>
      </c>
      <c r="B229" s="36"/>
      <c r="C229" s="638"/>
      <c r="D229" s="38"/>
      <c r="E229" s="38"/>
      <c r="F229" s="39"/>
      <c r="G229" s="39"/>
      <c r="H229" s="197"/>
      <c r="I229" s="198"/>
      <c r="J229" s="156"/>
      <c r="K229" s="157"/>
      <c r="L229" s="197"/>
      <c r="M229" s="158"/>
      <c r="N229" s="158"/>
      <c r="O229" s="197"/>
      <c r="P229" s="158"/>
      <c r="Q229" s="712">
        <f t="shared" si="77"/>
        <v>0</v>
      </c>
    </row>
    <row r="230" spans="1:17" s="1" customFormat="1" ht="38.25" customHeight="1" x14ac:dyDescent="0.25">
      <c r="A230" s="539"/>
      <c r="B230" s="540"/>
      <c r="C230" s="472" t="s">
        <v>302</v>
      </c>
      <c r="D230" s="350">
        <v>44803</v>
      </c>
      <c r="E230" s="341" t="s">
        <v>301</v>
      </c>
      <c r="F230" s="542" t="s">
        <v>314</v>
      </c>
      <c r="G230" s="331">
        <v>45099</v>
      </c>
      <c r="H230" s="541"/>
      <c r="I230" s="338" t="s">
        <v>110</v>
      </c>
      <c r="J230" s="336" t="s">
        <v>109</v>
      </c>
      <c r="K230" s="470">
        <v>6</v>
      </c>
      <c r="L230" s="543"/>
      <c r="M230" s="352">
        <v>1</v>
      </c>
      <c r="N230" s="544"/>
      <c r="O230" s="545"/>
      <c r="P230" s="352">
        <v>1</v>
      </c>
      <c r="Q230" s="712">
        <f t="shared" si="77"/>
        <v>0</v>
      </c>
    </row>
    <row r="231" spans="1:17" s="1" customFormat="1" ht="38.25" customHeight="1" x14ac:dyDescent="0.25">
      <c r="A231" s="539"/>
      <c r="B231" s="540"/>
      <c r="C231" s="472" t="s">
        <v>932</v>
      </c>
      <c r="D231" s="350">
        <v>45420</v>
      </c>
      <c r="E231" s="341" t="s">
        <v>858</v>
      </c>
      <c r="F231" s="542" t="s">
        <v>1017</v>
      </c>
      <c r="G231" s="331">
        <v>45390</v>
      </c>
      <c r="H231" s="541"/>
      <c r="I231" s="338" t="s">
        <v>503</v>
      </c>
      <c r="J231" s="336" t="s">
        <v>933</v>
      </c>
      <c r="K231" s="470">
        <v>1</v>
      </c>
      <c r="L231" s="543"/>
      <c r="M231" s="352">
        <f>K231</f>
        <v>1</v>
      </c>
      <c r="N231" s="544">
        <v>1</v>
      </c>
      <c r="O231" s="545"/>
      <c r="P231" s="352">
        <f>M231-N231</f>
        <v>0</v>
      </c>
      <c r="Q231" s="716" t="s">
        <v>934</v>
      </c>
    </row>
    <row r="232" spans="1:17" s="1" customFormat="1" ht="38.25" customHeight="1" x14ac:dyDescent="0.25">
      <c r="A232" s="539"/>
      <c r="B232" s="540"/>
      <c r="C232" s="472" t="s">
        <v>868</v>
      </c>
      <c r="D232" s="350">
        <v>45401</v>
      </c>
      <c r="E232" s="341" t="s">
        <v>858</v>
      </c>
      <c r="F232" s="542" t="s">
        <v>869</v>
      </c>
      <c r="G232" s="331">
        <v>45371</v>
      </c>
      <c r="H232" s="541"/>
      <c r="I232" s="338" t="s">
        <v>476</v>
      </c>
      <c r="J232" s="336" t="s">
        <v>576</v>
      </c>
      <c r="K232" s="470">
        <v>2</v>
      </c>
      <c r="L232" s="543"/>
      <c r="M232" s="352">
        <f>K232</f>
        <v>2</v>
      </c>
      <c r="N232" s="544"/>
      <c r="O232" s="545"/>
      <c r="P232" s="352">
        <f>M232-N232</f>
        <v>2</v>
      </c>
      <c r="Q232" s="716" t="s">
        <v>870</v>
      </c>
    </row>
    <row r="233" spans="1:17" s="1" customFormat="1" ht="46.5" customHeight="1" x14ac:dyDescent="0.25">
      <c r="A233" s="539"/>
      <c r="B233" s="540"/>
      <c r="C233" s="472" t="s">
        <v>881</v>
      </c>
      <c r="D233" s="350"/>
      <c r="E233" s="341" t="s">
        <v>50</v>
      </c>
      <c r="F233" s="542" t="s">
        <v>882</v>
      </c>
      <c r="G233" s="331">
        <v>45378</v>
      </c>
      <c r="H233" s="541"/>
      <c r="I233" s="338" t="s">
        <v>883</v>
      </c>
      <c r="J233" s="336" t="s">
        <v>884</v>
      </c>
      <c r="K233" s="470">
        <v>1</v>
      </c>
      <c r="L233" s="543"/>
      <c r="M233" s="352">
        <f>K233</f>
        <v>1</v>
      </c>
      <c r="N233" s="544"/>
      <c r="O233" s="545"/>
      <c r="P233" s="352">
        <f>M233-N233</f>
        <v>1</v>
      </c>
      <c r="Q233" s="716" t="s">
        <v>885</v>
      </c>
    </row>
    <row r="234" spans="1:17" s="154" customFormat="1" ht="22.65" customHeight="1" x14ac:dyDescent="0.25">
      <c r="A234" s="340" t="s">
        <v>78</v>
      </c>
      <c r="B234" s="144"/>
      <c r="C234" s="150"/>
      <c r="D234" s="146"/>
      <c r="E234" s="146"/>
      <c r="F234" s="147"/>
      <c r="G234" s="147"/>
      <c r="H234" s="370"/>
      <c r="I234" s="149"/>
      <c r="J234" s="184"/>
      <c r="K234" s="150"/>
      <c r="L234" s="152"/>
      <c r="M234" s="153"/>
      <c r="N234" s="151"/>
      <c r="O234" s="152"/>
      <c r="P234" s="153"/>
      <c r="Q234" s="712">
        <f t="shared" si="77"/>
        <v>0</v>
      </c>
    </row>
    <row r="235" spans="1:17" s="40" customFormat="1" ht="23.25" customHeight="1" x14ac:dyDescent="0.3">
      <c r="A235" s="634" t="s">
        <v>748</v>
      </c>
      <c r="B235" s="200"/>
      <c r="C235" s="645"/>
      <c r="D235" s="407"/>
      <c r="E235" s="407"/>
      <c r="F235" s="408"/>
      <c r="G235" s="408"/>
      <c r="H235" s="155"/>
      <c r="I235" s="198"/>
      <c r="J235" s="409"/>
      <c r="K235" s="204"/>
      <c r="L235" s="155"/>
      <c r="M235" s="159"/>
      <c r="N235" s="159"/>
      <c r="O235" s="155"/>
      <c r="P235" s="159"/>
      <c r="Q235" s="712">
        <f t="shared" si="77"/>
        <v>0</v>
      </c>
    </row>
    <row r="236" spans="1:17" s="9" customFormat="1" ht="32.25" customHeight="1" x14ac:dyDescent="0.25">
      <c r="A236" s="89"/>
      <c r="B236" s="379"/>
      <c r="C236" s="514"/>
      <c r="D236" s="455">
        <v>44941</v>
      </c>
      <c r="E236" s="428" t="s">
        <v>50</v>
      </c>
      <c r="F236" s="456"/>
      <c r="G236" s="83">
        <v>44921</v>
      </c>
      <c r="H236" s="457"/>
      <c r="I236" s="338" t="s">
        <v>160</v>
      </c>
      <c r="J236" s="335" t="s">
        <v>159</v>
      </c>
      <c r="K236" s="443">
        <v>1</v>
      </c>
      <c r="L236" s="458"/>
      <c r="M236" s="137">
        <f>K236</f>
        <v>1</v>
      </c>
      <c r="N236" s="433"/>
      <c r="O236" s="438"/>
      <c r="P236" s="87">
        <f>M236-N236</f>
        <v>1</v>
      </c>
      <c r="Q236" s="712">
        <f>M236-P236</f>
        <v>0</v>
      </c>
    </row>
    <row r="237" spans="1:17" s="9" customFormat="1" ht="36.75" customHeight="1" x14ac:dyDescent="0.25">
      <c r="A237" s="89"/>
      <c r="B237" s="379"/>
      <c r="C237" s="509"/>
      <c r="D237" s="455" t="s">
        <v>216</v>
      </c>
      <c r="E237" s="428" t="s">
        <v>50</v>
      </c>
      <c r="F237" s="571" t="s">
        <v>493</v>
      </c>
      <c r="G237" s="83">
        <v>44994</v>
      </c>
      <c r="H237" s="457"/>
      <c r="I237" s="338" t="s">
        <v>217</v>
      </c>
      <c r="J237" s="335" t="s">
        <v>218</v>
      </c>
      <c r="K237" s="443">
        <f>24-2-4</f>
        <v>18</v>
      </c>
      <c r="L237" s="458"/>
      <c r="M237" s="137">
        <f t="shared" ref="M237:M257" si="82">K237</f>
        <v>18</v>
      </c>
      <c r="N237" s="433"/>
      <c r="O237" s="438"/>
      <c r="P237" s="87">
        <f t="shared" ref="P237:P257" si="83">M237-N237</f>
        <v>18</v>
      </c>
      <c r="Q237" s="712">
        <f t="shared" si="77"/>
        <v>0</v>
      </c>
    </row>
    <row r="238" spans="1:17" s="9" customFormat="1" ht="26.4" x14ac:dyDescent="0.25">
      <c r="A238" s="89"/>
      <c r="B238" s="379"/>
      <c r="C238" s="813"/>
      <c r="D238" s="455"/>
      <c r="E238" s="428" t="s">
        <v>50</v>
      </c>
      <c r="F238" s="456"/>
      <c r="G238" s="83">
        <v>44922</v>
      </c>
      <c r="H238" s="457"/>
      <c r="I238" s="338" t="s">
        <v>164</v>
      </c>
      <c r="J238" s="335" t="s">
        <v>161</v>
      </c>
      <c r="K238" s="443">
        <v>1</v>
      </c>
      <c r="L238" s="458">
        <v>1</v>
      </c>
      <c r="M238" s="137">
        <f t="shared" si="82"/>
        <v>1</v>
      </c>
      <c r="N238" s="433"/>
      <c r="O238" s="438"/>
      <c r="P238" s="87">
        <f t="shared" si="83"/>
        <v>1</v>
      </c>
      <c r="Q238" s="712">
        <f t="shared" si="77"/>
        <v>0</v>
      </c>
    </row>
    <row r="239" spans="1:17" s="9" customFormat="1" ht="26.4" x14ac:dyDescent="0.25">
      <c r="A239" s="89"/>
      <c r="B239" s="379"/>
      <c r="C239" s="813"/>
      <c r="D239" s="455"/>
      <c r="E239" s="428" t="s">
        <v>50</v>
      </c>
      <c r="F239" s="456"/>
      <c r="G239" s="83">
        <v>44922</v>
      </c>
      <c r="H239" s="457"/>
      <c r="I239" s="338" t="s">
        <v>165</v>
      </c>
      <c r="J239" s="335" t="s">
        <v>162</v>
      </c>
      <c r="K239" s="443">
        <v>1</v>
      </c>
      <c r="L239" s="458">
        <v>1</v>
      </c>
      <c r="M239" s="137">
        <f t="shared" si="82"/>
        <v>1</v>
      </c>
      <c r="N239" s="433"/>
      <c r="O239" s="438"/>
      <c r="P239" s="87">
        <f t="shared" si="83"/>
        <v>1</v>
      </c>
      <c r="Q239" s="712">
        <f t="shared" si="77"/>
        <v>0</v>
      </c>
    </row>
    <row r="240" spans="1:17" s="9" customFormat="1" ht="23.25" customHeight="1" x14ac:dyDescent="0.25">
      <c r="A240" s="89"/>
      <c r="B240" s="379"/>
      <c r="C240" s="813"/>
      <c r="D240" s="455"/>
      <c r="E240" s="428" t="s">
        <v>50</v>
      </c>
      <c r="F240" s="456"/>
      <c r="G240" s="83">
        <v>44922</v>
      </c>
      <c r="H240" s="457"/>
      <c r="I240" s="338" t="s">
        <v>166</v>
      </c>
      <c r="J240" s="335" t="s">
        <v>163</v>
      </c>
      <c r="K240" s="443">
        <v>1</v>
      </c>
      <c r="L240" s="458">
        <v>1</v>
      </c>
      <c r="M240" s="137">
        <f t="shared" si="82"/>
        <v>1</v>
      </c>
      <c r="N240" s="433"/>
      <c r="O240" s="438"/>
      <c r="P240" s="87">
        <f t="shared" si="83"/>
        <v>1</v>
      </c>
      <c r="Q240" s="712">
        <f t="shared" si="77"/>
        <v>0</v>
      </c>
    </row>
    <row r="241" spans="1:17" s="9" customFormat="1" ht="18" customHeight="1" x14ac:dyDescent="0.25">
      <c r="A241" s="89"/>
      <c r="B241" s="379"/>
      <c r="C241" s="813"/>
      <c r="D241" s="455"/>
      <c r="E241" s="428" t="s">
        <v>50</v>
      </c>
      <c r="F241" s="456"/>
      <c r="G241" s="83">
        <v>44922</v>
      </c>
      <c r="H241" s="457"/>
      <c r="I241" s="338" t="s">
        <v>175</v>
      </c>
      <c r="J241" s="335" t="s">
        <v>167</v>
      </c>
      <c r="K241" s="443">
        <v>1</v>
      </c>
      <c r="L241" s="458">
        <v>4</v>
      </c>
      <c r="M241" s="137">
        <f t="shared" si="82"/>
        <v>1</v>
      </c>
      <c r="N241" s="433"/>
      <c r="O241" s="438"/>
      <c r="P241" s="87">
        <f t="shared" si="83"/>
        <v>1</v>
      </c>
      <c r="Q241" s="712">
        <f t="shared" si="77"/>
        <v>0</v>
      </c>
    </row>
    <row r="242" spans="1:17" s="9" customFormat="1" ht="32.25" customHeight="1" x14ac:dyDescent="0.25">
      <c r="A242" s="89"/>
      <c r="B242" s="379"/>
      <c r="C242" s="813"/>
      <c r="D242" s="455"/>
      <c r="E242" s="428" t="s">
        <v>50</v>
      </c>
      <c r="F242" s="456"/>
      <c r="G242" s="83">
        <v>44922</v>
      </c>
      <c r="H242" s="457"/>
      <c r="I242" s="338" t="s">
        <v>176</v>
      </c>
      <c r="J242" s="335" t="s">
        <v>169</v>
      </c>
      <c r="K242" s="443">
        <v>1</v>
      </c>
      <c r="L242" s="458">
        <v>8</v>
      </c>
      <c r="M242" s="137">
        <f t="shared" si="82"/>
        <v>1</v>
      </c>
      <c r="N242" s="433"/>
      <c r="O242" s="438"/>
      <c r="P242" s="87">
        <f t="shared" si="83"/>
        <v>1</v>
      </c>
      <c r="Q242" s="712">
        <f t="shared" si="77"/>
        <v>0</v>
      </c>
    </row>
    <row r="243" spans="1:17" s="9" customFormat="1" ht="25.5" customHeight="1" x14ac:dyDescent="0.25">
      <c r="A243" s="89"/>
      <c r="B243" s="379"/>
      <c r="C243" s="813"/>
      <c r="D243" s="455"/>
      <c r="E243" s="428" t="s">
        <v>50</v>
      </c>
      <c r="F243" s="456"/>
      <c r="G243" s="83">
        <v>44922</v>
      </c>
      <c r="H243" s="457"/>
      <c r="I243" s="338" t="s">
        <v>177</v>
      </c>
      <c r="J243" s="335" t="s">
        <v>170</v>
      </c>
      <c r="K243" s="443">
        <v>1</v>
      </c>
      <c r="L243" s="458">
        <v>9</v>
      </c>
      <c r="M243" s="137">
        <f t="shared" si="82"/>
        <v>1</v>
      </c>
      <c r="N243" s="433"/>
      <c r="O243" s="438"/>
      <c r="P243" s="87">
        <f t="shared" si="83"/>
        <v>1</v>
      </c>
      <c r="Q243" s="712">
        <f t="shared" si="77"/>
        <v>0</v>
      </c>
    </row>
    <row r="244" spans="1:17" s="9" customFormat="1" ht="25.5" customHeight="1" x14ac:dyDescent="0.25">
      <c r="A244" s="89"/>
      <c r="B244" s="379"/>
      <c r="C244" s="813"/>
      <c r="D244" s="455"/>
      <c r="E244" s="428" t="s">
        <v>50</v>
      </c>
      <c r="G244" s="83">
        <v>44922</v>
      </c>
      <c r="H244" s="457"/>
      <c r="I244" s="338" t="s">
        <v>178</v>
      </c>
      <c r="J244" s="335" t="s">
        <v>171</v>
      </c>
      <c r="K244" s="443">
        <v>1</v>
      </c>
      <c r="L244" s="458">
        <v>11</v>
      </c>
      <c r="M244" s="137">
        <f t="shared" si="82"/>
        <v>1</v>
      </c>
      <c r="N244" s="433"/>
      <c r="O244" s="438"/>
      <c r="P244" s="87">
        <f t="shared" si="83"/>
        <v>1</v>
      </c>
      <c r="Q244" s="712">
        <f t="shared" si="77"/>
        <v>0</v>
      </c>
    </row>
    <row r="245" spans="1:17" s="9" customFormat="1" ht="24.75" customHeight="1" x14ac:dyDescent="0.25">
      <c r="A245" s="89"/>
      <c r="B245" s="379"/>
      <c r="C245" s="813"/>
      <c r="D245" s="455"/>
      <c r="E245" s="428" t="s">
        <v>50</v>
      </c>
      <c r="F245" s="456"/>
      <c r="G245" s="83">
        <v>44922</v>
      </c>
      <c r="H245" s="457"/>
      <c r="I245" s="338" t="s">
        <v>179</v>
      </c>
      <c r="J245" s="335" t="s">
        <v>173</v>
      </c>
      <c r="K245" s="443">
        <v>1</v>
      </c>
      <c r="L245" s="458">
        <v>12</v>
      </c>
      <c r="M245" s="137">
        <f t="shared" si="82"/>
        <v>1</v>
      </c>
      <c r="N245" s="433"/>
      <c r="O245" s="438"/>
      <c r="P245" s="87">
        <f t="shared" si="83"/>
        <v>1</v>
      </c>
      <c r="Q245" s="712">
        <f t="shared" si="77"/>
        <v>0</v>
      </c>
    </row>
    <row r="246" spans="1:17" s="9" customFormat="1" ht="29.25" customHeight="1" x14ac:dyDescent="0.25">
      <c r="A246" s="89"/>
      <c r="B246" s="379"/>
      <c r="C246" s="813"/>
      <c r="D246" s="455"/>
      <c r="E246" s="428" t="s">
        <v>50</v>
      </c>
      <c r="F246" s="456"/>
      <c r="G246" s="83">
        <v>44922</v>
      </c>
      <c r="H246" s="457"/>
      <c r="I246" s="338" t="s">
        <v>180</v>
      </c>
      <c r="J246" s="335" t="s">
        <v>172</v>
      </c>
      <c r="K246" s="443">
        <v>1</v>
      </c>
      <c r="L246" s="458">
        <v>13</v>
      </c>
      <c r="M246" s="137">
        <f t="shared" si="82"/>
        <v>1</v>
      </c>
      <c r="N246" s="433"/>
      <c r="O246" s="438"/>
      <c r="P246" s="87">
        <f t="shared" si="83"/>
        <v>1</v>
      </c>
      <c r="Q246" s="712">
        <f t="shared" si="77"/>
        <v>0</v>
      </c>
    </row>
    <row r="247" spans="1:17" s="9" customFormat="1" ht="21" customHeight="1" x14ac:dyDescent="0.25">
      <c r="A247" s="89"/>
      <c r="B247" s="379"/>
      <c r="C247" s="813"/>
      <c r="D247" s="455"/>
      <c r="E247" s="428" t="s">
        <v>50</v>
      </c>
      <c r="F247" s="456"/>
      <c r="G247" s="83">
        <v>44922</v>
      </c>
      <c r="H247" s="457"/>
      <c r="I247" s="338" t="s">
        <v>181</v>
      </c>
      <c r="J247" s="335" t="s">
        <v>174</v>
      </c>
      <c r="K247" s="443">
        <v>1</v>
      </c>
      <c r="L247" s="458">
        <v>16</v>
      </c>
      <c r="M247" s="137">
        <f t="shared" si="82"/>
        <v>1</v>
      </c>
      <c r="N247" s="433"/>
      <c r="O247" s="438"/>
      <c r="P247" s="87">
        <f t="shared" si="83"/>
        <v>1</v>
      </c>
      <c r="Q247" s="712">
        <f t="shared" si="77"/>
        <v>0</v>
      </c>
    </row>
    <row r="248" spans="1:17" s="9" customFormat="1" ht="32.25" customHeight="1" x14ac:dyDescent="0.25">
      <c r="A248" s="89"/>
      <c r="B248" s="379"/>
      <c r="C248" s="813"/>
      <c r="D248" s="455"/>
      <c r="E248" s="428" t="s">
        <v>50</v>
      </c>
      <c r="F248" s="456"/>
      <c r="G248" s="83">
        <v>44922</v>
      </c>
      <c r="H248" s="457"/>
      <c r="I248" s="338" t="s">
        <v>183</v>
      </c>
      <c r="J248" s="335" t="s">
        <v>187</v>
      </c>
      <c r="K248" s="443">
        <v>1</v>
      </c>
      <c r="L248" s="458">
        <v>17</v>
      </c>
      <c r="M248" s="137">
        <f t="shared" si="82"/>
        <v>1</v>
      </c>
      <c r="N248" s="433"/>
      <c r="O248" s="438"/>
      <c r="P248" s="87">
        <f t="shared" si="83"/>
        <v>1</v>
      </c>
      <c r="Q248" s="712">
        <f t="shared" si="77"/>
        <v>0</v>
      </c>
    </row>
    <row r="249" spans="1:17" s="9" customFormat="1" ht="32.25" customHeight="1" x14ac:dyDescent="0.25">
      <c r="A249" s="89"/>
      <c r="B249" s="379"/>
      <c r="C249" s="813"/>
      <c r="D249" s="455"/>
      <c r="E249" s="428" t="s">
        <v>50</v>
      </c>
      <c r="F249" s="456"/>
      <c r="G249" s="83">
        <v>44922</v>
      </c>
      <c r="H249" s="457"/>
      <c r="I249" s="338" t="s">
        <v>182</v>
      </c>
      <c r="J249" s="335" t="s">
        <v>186</v>
      </c>
      <c r="K249" s="443">
        <v>1</v>
      </c>
      <c r="L249" s="458">
        <v>18</v>
      </c>
      <c r="M249" s="137">
        <f t="shared" si="82"/>
        <v>1</v>
      </c>
      <c r="N249" s="433"/>
      <c r="O249" s="438"/>
      <c r="P249" s="87">
        <f t="shared" si="83"/>
        <v>1</v>
      </c>
      <c r="Q249" s="712">
        <f t="shared" si="77"/>
        <v>0</v>
      </c>
    </row>
    <row r="250" spans="1:17" s="9" customFormat="1" ht="32.25" customHeight="1" x14ac:dyDescent="0.25">
      <c r="A250" s="89"/>
      <c r="B250" s="379"/>
      <c r="C250" s="813"/>
      <c r="D250" s="455"/>
      <c r="E250" s="428" t="s">
        <v>50</v>
      </c>
      <c r="F250" s="456"/>
      <c r="G250" s="83">
        <v>44922</v>
      </c>
      <c r="H250" s="457"/>
      <c r="I250" s="338" t="s">
        <v>184</v>
      </c>
      <c r="J250" s="335" t="s">
        <v>185</v>
      </c>
      <c r="K250" s="443">
        <v>1</v>
      </c>
      <c r="L250" s="458"/>
      <c r="M250" s="137">
        <f t="shared" si="82"/>
        <v>1</v>
      </c>
      <c r="N250" s="433"/>
      <c r="O250" s="438"/>
      <c r="P250" s="87">
        <f t="shared" si="83"/>
        <v>1</v>
      </c>
      <c r="Q250" s="712">
        <f t="shared" si="77"/>
        <v>0</v>
      </c>
    </row>
    <row r="251" spans="1:17" s="9" customFormat="1" ht="42" customHeight="1" x14ac:dyDescent="0.25">
      <c r="A251" s="89"/>
      <c r="B251" s="379"/>
      <c r="C251" s="813"/>
      <c r="D251" s="455"/>
      <c r="E251" s="428" t="s">
        <v>50</v>
      </c>
      <c r="F251" s="456"/>
      <c r="G251" s="83">
        <v>44922</v>
      </c>
      <c r="H251" s="457"/>
      <c r="I251" s="338" t="s">
        <v>188</v>
      </c>
      <c r="J251" s="335" t="s">
        <v>195</v>
      </c>
      <c r="K251" s="443">
        <v>1</v>
      </c>
      <c r="L251" s="458"/>
      <c r="M251" s="137">
        <f t="shared" si="82"/>
        <v>1</v>
      </c>
      <c r="N251" s="433"/>
      <c r="O251" s="438"/>
      <c r="P251" s="87">
        <f t="shared" si="83"/>
        <v>1</v>
      </c>
      <c r="Q251" s="712">
        <f t="shared" si="77"/>
        <v>0</v>
      </c>
    </row>
    <row r="252" spans="1:17" s="9" customFormat="1" ht="32.25" customHeight="1" x14ac:dyDescent="0.25">
      <c r="A252" s="89"/>
      <c r="B252" s="379"/>
      <c r="C252" s="813"/>
      <c r="D252" s="455"/>
      <c r="E252" s="428" t="s">
        <v>50</v>
      </c>
      <c r="F252" s="456"/>
      <c r="G252" s="83">
        <v>44922</v>
      </c>
      <c r="H252" s="457"/>
      <c r="I252" s="338" t="s">
        <v>189</v>
      </c>
      <c r="J252" s="335" t="s">
        <v>196</v>
      </c>
      <c r="K252" s="443">
        <v>1</v>
      </c>
      <c r="L252" s="458"/>
      <c r="M252" s="137">
        <f t="shared" si="82"/>
        <v>1</v>
      </c>
      <c r="N252" s="433">
        <v>1</v>
      </c>
      <c r="O252" s="438"/>
      <c r="P252" s="87">
        <f t="shared" si="83"/>
        <v>0</v>
      </c>
      <c r="Q252" s="712">
        <f t="shared" si="77"/>
        <v>1</v>
      </c>
    </row>
    <row r="253" spans="1:17" s="9" customFormat="1" ht="32.25" customHeight="1" x14ac:dyDescent="0.25">
      <c r="A253" s="89"/>
      <c r="B253" s="379"/>
      <c r="C253" s="813"/>
      <c r="D253" s="455"/>
      <c r="E253" s="428" t="s">
        <v>50</v>
      </c>
      <c r="F253" s="456"/>
      <c r="G253" s="83">
        <v>44922</v>
      </c>
      <c r="H253" s="457"/>
      <c r="I253" s="338" t="s">
        <v>190</v>
      </c>
      <c r="J253" s="335" t="s">
        <v>197</v>
      </c>
      <c r="K253" s="443">
        <v>1</v>
      </c>
      <c r="L253" s="458"/>
      <c r="M253" s="137">
        <f t="shared" si="82"/>
        <v>1</v>
      </c>
      <c r="N253" s="433">
        <v>1</v>
      </c>
      <c r="O253" s="438"/>
      <c r="P253" s="87">
        <f t="shared" si="83"/>
        <v>0</v>
      </c>
      <c r="Q253" s="712">
        <f t="shared" si="77"/>
        <v>1</v>
      </c>
    </row>
    <row r="254" spans="1:17" s="9" customFormat="1" ht="32.25" customHeight="1" x14ac:dyDescent="0.25">
      <c r="A254" s="89"/>
      <c r="B254" s="379"/>
      <c r="C254" s="813"/>
      <c r="D254" s="455"/>
      <c r="E254" s="428" t="s">
        <v>50</v>
      </c>
      <c r="F254" s="456"/>
      <c r="G254" s="83">
        <v>44922</v>
      </c>
      <c r="H254" s="457"/>
      <c r="I254" s="338" t="s">
        <v>191</v>
      </c>
      <c r="J254" s="335" t="s">
        <v>198</v>
      </c>
      <c r="K254" s="443">
        <v>1</v>
      </c>
      <c r="L254" s="458"/>
      <c r="M254" s="137">
        <f t="shared" si="82"/>
        <v>1</v>
      </c>
      <c r="N254" s="433"/>
      <c r="O254" s="438"/>
      <c r="P254" s="87">
        <f t="shared" si="83"/>
        <v>1</v>
      </c>
      <c r="Q254" s="712">
        <f t="shared" si="77"/>
        <v>0</v>
      </c>
    </row>
    <row r="255" spans="1:17" s="9" customFormat="1" ht="32.25" customHeight="1" x14ac:dyDescent="0.25">
      <c r="A255" s="89"/>
      <c r="B255" s="379"/>
      <c r="C255" s="813"/>
      <c r="D255" s="455"/>
      <c r="E255" s="428" t="s">
        <v>50</v>
      </c>
      <c r="F255" s="456"/>
      <c r="G255" s="83">
        <v>44922</v>
      </c>
      <c r="H255" s="457"/>
      <c r="I255" s="338" t="s">
        <v>192</v>
      </c>
      <c r="J255" s="335" t="s">
        <v>199</v>
      </c>
      <c r="K255" s="443">
        <v>1</v>
      </c>
      <c r="L255" s="458"/>
      <c r="M255" s="137">
        <f t="shared" si="82"/>
        <v>1</v>
      </c>
      <c r="N255" s="433"/>
      <c r="O255" s="438"/>
      <c r="P255" s="87">
        <f t="shared" si="83"/>
        <v>1</v>
      </c>
      <c r="Q255" s="712">
        <f t="shared" si="77"/>
        <v>0</v>
      </c>
    </row>
    <row r="256" spans="1:17" s="9" customFormat="1" ht="32.25" customHeight="1" x14ac:dyDescent="0.25">
      <c r="A256" s="89"/>
      <c r="B256" s="379"/>
      <c r="C256" s="813"/>
      <c r="D256" s="455"/>
      <c r="E256" s="428" t="s">
        <v>50</v>
      </c>
      <c r="F256" s="456"/>
      <c r="G256" s="83">
        <v>44922</v>
      </c>
      <c r="H256" s="457"/>
      <c r="I256" s="338" t="s">
        <v>193</v>
      </c>
      <c r="J256" s="335" t="s">
        <v>200</v>
      </c>
      <c r="K256" s="443">
        <v>1</v>
      </c>
      <c r="L256" s="458"/>
      <c r="M256" s="137">
        <f t="shared" si="82"/>
        <v>1</v>
      </c>
      <c r="N256" s="433"/>
      <c r="O256" s="438"/>
      <c r="P256" s="87">
        <f t="shared" si="83"/>
        <v>1</v>
      </c>
      <c r="Q256" s="712">
        <f t="shared" si="77"/>
        <v>0</v>
      </c>
    </row>
    <row r="257" spans="1:17" s="9" customFormat="1" ht="32.25" customHeight="1" x14ac:dyDescent="0.25">
      <c r="A257" s="89"/>
      <c r="B257" s="379"/>
      <c r="C257" s="813"/>
      <c r="D257" s="455"/>
      <c r="E257" s="428" t="s">
        <v>50</v>
      </c>
      <c r="F257" s="456"/>
      <c r="G257" s="83">
        <v>44922</v>
      </c>
      <c r="H257" s="457"/>
      <c r="I257" s="338" t="s">
        <v>194</v>
      </c>
      <c r="J257" s="335" t="s">
        <v>201</v>
      </c>
      <c r="K257" s="443">
        <v>1</v>
      </c>
      <c r="L257" s="458"/>
      <c r="M257" s="137">
        <f t="shared" si="82"/>
        <v>1</v>
      </c>
      <c r="N257" s="433"/>
      <c r="O257" s="438"/>
      <c r="P257" s="87">
        <f t="shared" si="83"/>
        <v>1</v>
      </c>
      <c r="Q257" s="712">
        <f t="shared" si="77"/>
        <v>0</v>
      </c>
    </row>
    <row r="258" spans="1:17" s="154" customFormat="1" ht="22.65" customHeight="1" x14ac:dyDescent="0.25">
      <c r="A258" s="143" t="s">
        <v>26</v>
      </c>
      <c r="B258" s="144"/>
      <c r="C258" s="150"/>
      <c r="D258" s="146"/>
      <c r="E258" s="146"/>
      <c r="F258" s="147"/>
      <c r="G258" s="147"/>
      <c r="H258" s="370"/>
      <c r="I258" s="149"/>
      <c r="J258" s="184"/>
      <c r="K258" s="150"/>
      <c r="L258" s="152"/>
      <c r="M258" s="153"/>
      <c r="N258" s="151"/>
      <c r="O258" s="152"/>
      <c r="P258" s="153"/>
      <c r="Q258" s="712">
        <f t="shared" si="77"/>
        <v>0</v>
      </c>
    </row>
    <row r="259" spans="1:17" s="40" customFormat="1" ht="20.25" customHeight="1" x14ac:dyDescent="0.3">
      <c r="A259" s="743" t="s">
        <v>46</v>
      </c>
      <c r="B259" s="735"/>
      <c r="C259" s="736"/>
      <c r="D259" s="737"/>
      <c r="E259" s="737"/>
      <c r="F259" s="738"/>
      <c r="G259" s="738"/>
      <c r="H259" s="155"/>
      <c r="J259" s="739"/>
      <c r="K259" s="740"/>
      <c r="L259" s="155"/>
      <c r="M259" s="741"/>
      <c r="N259" s="741"/>
      <c r="O259" s="155"/>
      <c r="P259" s="741"/>
      <c r="Q259" s="712">
        <f t="shared" si="77"/>
        <v>0</v>
      </c>
    </row>
    <row r="260" spans="1:17" s="121" customFormat="1" ht="24" customHeight="1" x14ac:dyDescent="0.25">
      <c r="A260" s="721"/>
      <c r="B260" s="744"/>
      <c r="C260" s="704" t="s">
        <v>1</v>
      </c>
      <c r="D260" s="73"/>
      <c r="E260" s="745" t="s">
        <v>49</v>
      </c>
      <c r="F260" s="746">
        <v>1111302.06</v>
      </c>
      <c r="G260" s="747">
        <v>43809</v>
      </c>
      <c r="H260" s="748"/>
      <c r="I260" s="749" t="s">
        <v>64</v>
      </c>
      <c r="J260" s="750" t="s">
        <v>65</v>
      </c>
      <c r="K260" s="751">
        <v>1</v>
      </c>
      <c r="L260" s="752"/>
      <c r="M260" s="753">
        <f>K260</f>
        <v>1</v>
      </c>
      <c r="N260" s="754"/>
      <c r="O260" s="752"/>
      <c r="P260" s="755">
        <f t="shared" ref="P260:P278" si="84">K260-N260</f>
        <v>1</v>
      </c>
      <c r="Q260" s="712">
        <f t="shared" si="77"/>
        <v>0</v>
      </c>
    </row>
    <row r="261" spans="1:17" s="121" customFormat="1" ht="24" customHeight="1" x14ac:dyDescent="0.25">
      <c r="A261" s="78"/>
      <c r="B261" s="78"/>
      <c r="C261" s="343"/>
      <c r="D261" s="351" t="s">
        <v>992</v>
      </c>
      <c r="E261" s="337" t="s">
        <v>701</v>
      </c>
      <c r="F261" s="672"/>
      <c r="G261" s="94">
        <v>45355</v>
      </c>
      <c r="H261" s="90"/>
      <c r="I261" s="392" t="s">
        <v>819</v>
      </c>
      <c r="J261" s="393" t="s">
        <v>818</v>
      </c>
      <c r="K261" s="742">
        <v>1</v>
      </c>
      <c r="L261" s="347"/>
      <c r="M261" s="394">
        <f>K261</f>
        <v>1</v>
      </c>
      <c r="N261" s="395"/>
      <c r="O261" s="347"/>
      <c r="P261" s="756">
        <f t="shared" si="84"/>
        <v>1</v>
      </c>
      <c r="Q261" s="712"/>
    </row>
    <row r="262" spans="1:17" s="121" customFormat="1" ht="24" customHeight="1" x14ac:dyDescent="0.25">
      <c r="A262" s="78"/>
      <c r="B262" s="78"/>
      <c r="C262" s="343"/>
      <c r="D262" s="426"/>
      <c r="E262" s="337" t="s">
        <v>383</v>
      </c>
      <c r="F262" s="567"/>
      <c r="G262" s="94">
        <v>45238</v>
      </c>
      <c r="H262" s="90"/>
      <c r="I262" s="602" t="s">
        <v>516</v>
      </c>
      <c r="J262" s="581" t="s">
        <v>517</v>
      </c>
      <c r="K262" s="582">
        <v>1</v>
      </c>
      <c r="L262" s="347"/>
      <c r="M262" s="394">
        <f>K262</f>
        <v>1</v>
      </c>
      <c r="N262" s="395">
        <v>1</v>
      </c>
      <c r="O262" s="347"/>
      <c r="P262" s="756">
        <f t="shared" si="84"/>
        <v>0</v>
      </c>
      <c r="Q262" s="712">
        <f t="shared" si="77"/>
        <v>1</v>
      </c>
    </row>
    <row r="263" spans="1:17" s="121" customFormat="1" ht="24" customHeight="1" x14ac:dyDescent="0.25">
      <c r="A263" s="78"/>
      <c r="B263" s="78"/>
      <c r="C263" s="343"/>
      <c r="D263" s="426"/>
      <c r="E263" s="337" t="s">
        <v>383</v>
      </c>
      <c r="F263" s="567">
        <v>32475.46</v>
      </c>
      <c r="G263" s="354">
        <v>45245</v>
      </c>
      <c r="H263" s="90"/>
      <c r="I263" s="603" t="s">
        <v>531</v>
      </c>
      <c r="J263" s="588" t="s">
        <v>530</v>
      </c>
      <c r="K263" s="589">
        <v>1</v>
      </c>
      <c r="L263" s="347"/>
      <c r="M263" s="394">
        <f>K263</f>
        <v>1</v>
      </c>
      <c r="N263" s="395">
        <v>1</v>
      </c>
      <c r="O263" s="347"/>
      <c r="P263" s="756">
        <f t="shared" si="84"/>
        <v>0</v>
      </c>
      <c r="Q263" s="712">
        <f t="shared" si="77"/>
        <v>1</v>
      </c>
    </row>
    <row r="264" spans="1:17" s="121" customFormat="1" ht="23.25" customHeight="1" x14ac:dyDescent="0.25">
      <c r="A264" s="78"/>
      <c r="B264" s="78"/>
      <c r="C264" s="343"/>
      <c r="D264" s="80"/>
      <c r="E264" s="341" t="s">
        <v>49</v>
      </c>
      <c r="F264" s="566">
        <v>1895587.46</v>
      </c>
      <c r="G264" s="83">
        <v>43648</v>
      </c>
      <c r="H264" s="90"/>
      <c r="I264" s="344"/>
      <c r="J264" s="345" t="s">
        <v>62</v>
      </c>
      <c r="K264" s="346">
        <v>1</v>
      </c>
      <c r="L264" s="347"/>
      <c r="M264" s="348">
        <f>K264</f>
        <v>1</v>
      </c>
      <c r="N264" s="349"/>
      <c r="O264" s="347"/>
      <c r="P264" s="756">
        <f t="shared" si="84"/>
        <v>1</v>
      </c>
      <c r="Q264" s="712">
        <f t="shared" si="77"/>
        <v>0</v>
      </c>
    </row>
    <row r="265" spans="1:17" s="121" customFormat="1" ht="25.5" customHeight="1" x14ac:dyDescent="0.25">
      <c r="A265" s="78"/>
      <c r="B265" s="78"/>
      <c r="C265" s="343"/>
      <c r="D265" s="80"/>
      <c r="E265" s="341" t="s">
        <v>49</v>
      </c>
      <c r="F265" s="566">
        <v>318733.33</v>
      </c>
      <c r="G265" s="452">
        <v>44776</v>
      </c>
      <c r="H265" s="90"/>
      <c r="I265" s="344" t="s">
        <v>122</v>
      </c>
      <c r="J265" s="362" t="s">
        <v>121</v>
      </c>
      <c r="K265" s="346">
        <v>1</v>
      </c>
      <c r="L265" s="347"/>
      <c r="M265" s="348">
        <f t="shared" ref="M265:M278" si="85">K265</f>
        <v>1</v>
      </c>
      <c r="N265" s="585"/>
      <c r="O265" s="347"/>
      <c r="P265" s="756">
        <f t="shared" si="84"/>
        <v>1</v>
      </c>
      <c r="Q265" s="712">
        <f t="shared" si="77"/>
        <v>0</v>
      </c>
    </row>
    <row r="266" spans="1:17" s="121" customFormat="1" ht="25.5" customHeight="1" x14ac:dyDescent="0.25">
      <c r="A266" s="78"/>
      <c r="B266" s="78"/>
      <c r="C266" s="343"/>
      <c r="D266" s="80"/>
      <c r="E266" s="611" t="s">
        <v>49</v>
      </c>
      <c r="F266" s="673">
        <v>73334.22</v>
      </c>
      <c r="G266" s="613">
        <v>45077</v>
      </c>
      <c r="H266" s="90"/>
      <c r="I266" s="604" t="s">
        <v>285</v>
      </c>
      <c r="J266" s="605" t="s">
        <v>286</v>
      </c>
      <c r="K266" s="606">
        <v>1</v>
      </c>
      <c r="L266" s="607"/>
      <c r="M266" s="608">
        <f t="shared" si="85"/>
        <v>1</v>
      </c>
      <c r="N266" s="609"/>
      <c r="O266" s="607"/>
      <c r="P266" s="757">
        <f t="shared" si="84"/>
        <v>1</v>
      </c>
      <c r="Q266" s="712">
        <f t="shared" si="77"/>
        <v>0</v>
      </c>
    </row>
    <row r="267" spans="1:17" s="121" customFormat="1" ht="25.5" customHeight="1" x14ac:dyDescent="0.25">
      <c r="A267" s="78"/>
      <c r="B267" s="78"/>
      <c r="C267" s="343"/>
      <c r="D267" s="80"/>
      <c r="E267" s="611" t="s">
        <v>49</v>
      </c>
      <c r="F267" s="673">
        <v>199735.25</v>
      </c>
      <c r="G267" s="613">
        <v>45077</v>
      </c>
      <c r="H267" s="90"/>
      <c r="I267" s="604" t="s">
        <v>287</v>
      </c>
      <c r="J267" s="605" t="s">
        <v>529</v>
      </c>
      <c r="K267" s="606">
        <v>1</v>
      </c>
      <c r="L267" s="607"/>
      <c r="M267" s="608">
        <f t="shared" si="85"/>
        <v>1</v>
      </c>
      <c r="N267" s="609"/>
      <c r="O267" s="607"/>
      <c r="P267" s="757">
        <f t="shared" si="84"/>
        <v>1</v>
      </c>
      <c r="Q267" s="712">
        <f t="shared" si="77"/>
        <v>0</v>
      </c>
    </row>
    <row r="268" spans="1:17" s="121" customFormat="1" ht="23.25" customHeight="1" x14ac:dyDescent="0.25">
      <c r="A268" s="78"/>
      <c r="B268" s="78"/>
      <c r="C268" s="343"/>
      <c r="D268" s="350"/>
      <c r="E268" s="341" t="s">
        <v>49</v>
      </c>
      <c r="F268" s="566">
        <v>547847.63</v>
      </c>
      <c r="G268" s="452">
        <v>44706</v>
      </c>
      <c r="H268" s="90"/>
      <c r="I268" s="344" t="s">
        <v>108</v>
      </c>
      <c r="J268" s="362" t="s">
        <v>107</v>
      </c>
      <c r="K268" s="346">
        <v>1</v>
      </c>
      <c r="L268" s="347"/>
      <c r="M268" s="348">
        <f t="shared" si="85"/>
        <v>1</v>
      </c>
      <c r="N268" s="487">
        <v>1</v>
      </c>
      <c r="O268" s="347"/>
      <c r="P268" s="756">
        <f t="shared" si="84"/>
        <v>0</v>
      </c>
      <c r="Q268" s="712">
        <f t="shared" si="77"/>
        <v>1</v>
      </c>
    </row>
    <row r="269" spans="1:17" s="121" customFormat="1" ht="23.25" customHeight="1" x14ac:dyDescent="0.25">
      <c r="A269" s="78"/>
      <c r="B269" s="78"/>
      <c r="C269" s="343"/>
      <c r="D269" s="504"/>
      <c r="E269" s="341" t="s">
        <v>667</v>
      </c>
      <c r="F269" s="674"/>
      <c r="G269" s="505">
        <v>45341</v>
      </c>
      <c r="H269" s="64"/>
      <c r="I269" s="344" t="s">
        <v>784</v>
      </c>
      <c r="J269" s="362" t="s">
        <v>783</v>
      </c>
      <c r="K269" s="346">
        <v>1</v>
      </c>
      <c r="L269" s="506"/>
      <c r="M269" s="348">
        <f t="shared" si="85"/>
        <v>1</v>
      </c>
      <c r="N269" s="487"/>
      <c r="O269" s="347"/>
      <c r="P269" s="756">
        <f t="shared" si="84"/>
        <v>1</v>
      </c>
      <c r="Q269" s="712">
        <f t="shared" si="77"/>
        <v>0</v>
      </c>
    </row>
    <row r="270" spans="1:17" s="121" customFormat="1" ht="23.25" customHeight="1" x14ac:dyDescent="0.25">
      <c r="A270" s="78"/>
      <c r="B270" s="78"/>
      <c r="C270" s="343"/>
      <c r="D270" s="504"/>
      <c r="E270" s="341" t="s">
        <v>850</v>
      </c>
      <c r="F270" s="674"/>
      <c r="G270" s="505">
        <v>45365</v>
      </c>
      <c r="H270" s="64"/>
      <c r="I270" s="344" t="s">
        <v>852</v>
      </c>
      <c r="J270" s="362" t="s">
        <v>851</v>
      </c>
      <c r="K270" s="346">
        <v>1</v>
      </c>
      <c r="L270" s="506"/>
      <c r="M270" s="348">
        <f t="shared" si="85"/>
        <v>1</v>
      </c>
      <c r="N270" s="487"/>
      <c r="O270" s="347"/>
      <c r="P270" s="756">
        <f t="shared" si="84"/>
        <v>1</v>
      </c>
      <c r="Q270" s="712"/>
    </row>
    <row r="271" spans="1:17" s="121" customFormat="1" ht="23.25" customHeight="1" x14ac:dyDescent="0.25">
      <c r="A271" s="78"/>
      <c r="B271" s="78"/>
      <c r="C271" s="343"/>
      <c r="D271" s="504"/>
      <c r="E271" s="341" t="s">
        <v>706</v>
      </c>
      <c r="F271" s="674"/>
      <c r="G271" s="505">
        <v>45306</v>
      </c>
      <c r="H271" s="64"/>
      <c r="I271" s="344" t="s">
        <v>710</v>
      </c>
      <c r="J271" s="362" t="s">
        <v>707</v>
      </c>
      <c r="K271" s="346">
        <v>3</v>
      </c>
      <c r="L271" s="506"/>
      <c r="M271" s="348">
        <f t="shared" si="85"/>
        <v>3</v>
      </c>
      <c r="N271" s="487">
        <v>3</v>
      </c>
      <c r="O271" s="347"/>
      <c r="P271" s="756">
        <f t="shared" si="84"/>
        <v>0</v>
      </c>
      <c r="Q271" s="712">
        <f t="shared" si="77"/>
        <v>3</v>
      </c>
    </row>
    <row r="272" spans="1:17" s="121" customFormat="1" ht="23.25" customHeight="1" x14ac:dyDescent="0.25">
      <c r="A272" s="78"/>
      <c r="B272" s="78"/>
      <c r="C272" s="343"/>
      <c r="D272" s="504"/>
      <c r="E272" s="341" t="s">
        <v>706</v>
      </c>
      <c r="F272" s="674"/>
      <c r="G272" s="505">
        <v>45306</v>
      </c>
      <c r="H272" s="64"/>
      <c r="I272" s="344" t="s">
        <v>711</v>
      </c>
      <c r="J272" s="362" t="s">
        <v>708</v>
      </c>
      <c r="K272" s="346">
        <v>4</v>
      </c>
      <c r="L272" s="506"/>
      <c r="M272" s="348">
        <f t="shared" si="85"/>
        <v>4</v>
      </c>
      <c r="N272" s="487"/>
      <c r="O272" s="347"/>
      <c r="P272" s="756">
        <f t="shared" si="84"/>
        <v>4</v>
      </c>
      <c r="Q272" s="712">
        <f t="shared" si="77"/>
        <v>0</v>
      </c>
    </row>
    <row r="273" spans="1:17" s="121" customFormat="1" ht="23.25" customHeight="1" x14ac:dyDescent="0.25">
      <c r="A273" s="78"/>
      <c r="B273" s="78"/>
      <c r="C273" s="343"/>
      <c r="D273" s="504"/>
      <c r="E273" s="341" t="s">
        <v>706</v>
      </c>
      <c r="F273" s="674">
        <v>14096.27</v>
      </c>
      <c r="G273" s="505">
        <v>45306</v>
      </c>
      <c r="H273" s="64"/>
      <c r="I273" s="344" t="s">
        <v>712</v>
      </c>
      <c r="J273" s="362" t="s">
        <v>709</v>
      </c>
      <c r="K273" s="346">
        <v>1</v>
      </c>
      <c r="L273" s="506"/>
      <c r="M273" s="348">
        <f t="shared" si="85"/>
        <v>1</v>
      </c>
      <c r="N273" s="487"/>
      <c r="O273" s="347"/>
      <c r="P273" s="756">
        <f t="shared" si="84"/>
        <v>1</v>
      </c>
      <c r="Q273" s="712">
        <f t="shared" si="77"/>
        <v>0</v>
      </c>
    </row>
    <row r="274" spans="1:17" s="121" customFormat="1" ht="23.25" customHeight="1" x14ac:dyDescent="0.25">
      <c r="A274" s="78"/>
      <c r="B274" s="78"/>
      <c r="C274" s="343"/>
      <c r="D274" s="504"/>
      <c r="E274" s="341" t="s">
        <v>706</v>
      </c>
      <c r="F274" s="674"/>
      <c r="G274" s="505">
        <v>45386</v>
      </c>
      <c r="H274" s="64"/>
      <c r="I274" s="344" t="s">
        <v>920</v>
      </c>
      <c r="J274" s="362" t="s">
        <v>921</v>
      </c>
      <c r="K274" s="346">
        <v>1</v>
      </c>
      <c r="L274" s="506"/>
      <c r="M274" s="348">
        <f t="shared" si="85"/>
        <v>1</v>
      </c>
      <c r="N274" s="487"/>
      <c r="O274" s="347"/>
      <c r="P274" s="756">
        <f t="shared" si="84"/>
        <v>1</v>
      </c>
      <c r="Q274" s="712">
        <f t="shared" si="77"/>
        <v>0</v>
      </c>
    </row>
    <row r="275" spans="1:17" s="121" customFormat="1" ht="27.75" customHeight="1" x14ac:dyDescent="0.25">
      <c r="A275" s="78"/>
      <c r="B275" s="78"/>
      <c r="C275" s="343"/>
      <c r="D275" s="504"/>
      <c r="E275" s="341" t="s">
        <v>49</v>
      </c>
      <c r="F275" s="674">
        <v>282465.37</v>
      </c>
      <c r="G275" s="505">
        <v>45085</v>
      </c>
      <c r="H275" s="64"/>
      <c r="I275" s="344" t="s">
        <v>283</v>
      </c>
      <c r="J275" s="362" t="s">
        <v>282</v>
      </c>
      <c r="K275" s="346">
        <v>1</v>
      </c>
      <c r="L275" s="506"/>
      <c r="M275" s="348">
        <f t="shared" si="85"/>
        <v>1</v>
      </c>
      <c r="N275" s="487"/>
      <c r="O275" s="347"/>
      <c r="P275" s="756">
        <f t="shared" si="84"/>
        <v>1</v>
      </c>
      <c r="Q275" s="712">
        <f t="shared" si="77"/>
        <v>0</v>
      </c>
    </row>
    <row r="276" spans="1:17" s="121" customFormat="1" ht="27.75" customHeight="1" x14ac:dyDescent="0.25">
      <c r="A276" s="78"/>
      <c r="B276" s="78"/>
      <c r="C276" s="343"/>
      <c r="D276" s="504"/>
      <c r="E276" s="341" t="s">
        <v>667</v>
      </c>
      <c r="F276" s="674"/>
      <c r="G276" s="505">
        <v>45404</v>
      </c>
      <c r="H276" s="64"/>
      <c r="I276" s="344" t="s">
        <v>991</v>
      </c>
      <c r="J276" s="362" t="s">
        <v>990</v>
      </c>
      <c r="K276" s="346">
        <v>1</v>
      </c>
      <c r="L276" s="506"/>
      <c r="M276" s="348">
        <f t="shared" si="85"/>
        <v>1</v>
      </c>
      <c r="N276" s="487"/>
      <c r="O276" s="347"/>
      <c r="P276" s="756">
        <f t="shared" si="84"/>
        <v>1</v>
      </c>
      <c r="Q276" s="712">
        <f t="shared" si="77"/>
        <v>0</v>
      </c>
    </row>
    <row r="277" spans="1:17" s="121" customFormat="1" ht="23.25" customHeight="1" x14ac:dyDescent="0.25">
      <c r="A277" s="78"/>
      <c r="B277" s="78"/>
      <c r="C277" s="343"/>
      <c r="D277" s="504"/>
      <c r="E277" s="341" t="s">
        <v>49</v>
      </c>
      <c r="F277" s="674">
        <v>46047.15</v>
      </c>
      <c r="G277" s="505">
        <v>45058</v>
      </c>
      <c r="H277" s="64"/>
      <c r="I277" s="344" t="s">
        <v>271</v>
      </c>
      <c r="J277" s="362" t="s">
        <v>272</v>
      </c>
      <c r="K277" s="346">
        <v>1</v>
      </c>
      <c r="L277" s="506"/>
      <c r="M277" s="348">
        <f t="shared" si="85"/>
        <v>1</v>
      </c>
      <c r="N277" s="487"/>
      <c r="O277" s="347"/>
      <c r="P277" s="756">
        <f t="shared" si="84"/>
        <v>1</v>
      </c>
      <c r="Q277" s="712">
        <f t="shared" si="77"/>
        <v>0</v>
      </c>
    </row>
    <row r="278" spans="1:17" s="121" customFormat="1" ht="24" customHeight="1" x14ac:dyDescent="0.25">
      <c r="A278" s="162"/>
      <c r="B278" s="162"/>
      <c r="C278" s="648"/>
      <c r="D278" s="253"/>
      <c r="E278" s="492" t="s">
        <v>49</v>
      </c>
      <c r="F278" s="675">
        <v>155538.71</v>
      </c>
      <c r="G278" s="494">
        <v>43508</v>
      </c>
      <c r="H278" s="495"/>
      <c r="I278" s="496" t="s">
        <v>57</v>
      </c>
      <c r="J278" s="497" t="s">
        <v>58</v>
      </c>
      <c r="K278" s="498">
        <v>1</v>
      </c>
      <c r="L278" s="499"/>
      <c r="M278" s="500">
        <f t="shared" si="85"/>
        <v>1</v>
      </c>
      <c r="N278" s="501"/>
      <c r="O278" s="499"/>
      <c r="P278" s="758">
        <f t="shared" si="84"/>
        <v>1</v>
      </c>
      <c r="Q278" s="712">
        <f t="shared" si="77"/>
        <v>0</v>
      </c>
    </row>
    <row r="279" spans="1:17" s="154" customFormat="1" ht="22.65" customHeight="1" x14ac:dyDescent="0.25">
      <c r="A279" s="491" t="s">
        <v>47</v>
      </c>
      <c r="B279" s="381"/>
      <c r="C279" s="387"/>
      <c r="D279" s="383"/>
      <c r="E279" s="383"/>
      <c r="F279" s="676">
        <f>SUM(F260:F278)</f>
        <v>4677162.91</v>
      </c>
      <c r="G279" s="384"/>
      <c r="H279" s="370"/>
      <c r="I279" s="385"/>
      <c r="J279" s="386"/>
      <c r="K279" s="387"/>
      <c r="L279" s="152"/>
      <c r="M279" s="389"/>
      <c r="N279" s="388"/>
      <c r="O279" s="152"/>
      <c r="P279" s="389"/>
      <c r="Q279" s="712">
        <f t="shared" si="77"/>
        <v>0</v>
      </c>
    </row>
    <row r="280" spans="1:17" s="195" customFormat="1" ht="21" customHeight="1" x14ac:dyDescent="0.25">
      <c r="A280" s="185" t="s">
        <v>23</v>
      </c>
      <c r="B280" s="186"/>
      <c r="C280" s="192"/>
      <c r="D280" s="188"/>
      <c r="E280" s="188"/>
      <c r="F280" s="576">
        <f>F196+F192+F181+F131+F101+F12+F279+F258+F234+F199+F38</f>
        <v>10924973.25</v>
      </c>
      <c r="G280" s="189"/>
      <c r="H280" s="371"/>
      <c r="I280" s="191"/>
      <c r="J280" s="186"/>
      <c r="K280" s="192">
        <f>SUM(K13:K279)</f>
        <v>2252</v>
      </c>
      <c r="L280" s="194"/>
      <c r="M280" s="192">
        <f>SUM(M13:M279)</f>
        <v>2214</v>
      </c>
      <c r="N280" s="533">
        <f>SUM(N13:N279)</f>
        <v>729</v>
      </c>
      <c r="O280" s="194"/>
      <c r="P280" s="192">
        <f>SUM(P13:P279)</f>
        <v>1485</v>
      </c>
      <c r="Q280" s="712">
        <f t="shared" si="77"/>
        <v>729</v>
      </c>
    </row>
    <row r="281" spans="1:17" s="40" customFormat="1" ht="23.25" hidden="1" customHeight="1" x14ac:dyDescent="0.3">
      <c r="A281" s="196" t="s">
        <v>4</v>
      </c>
      <c r="B281" s="36"/>
      <c r="C281" s="638"/>
      <c r="D281" s="38"/>
      <c r="E281" s="38"/>
      <c r="F281" s="39"/>
      <c r="G281" s="39"/>
      <c r="H281" s="197"/>
      <c r="I281" s="198"/>
      <c r="J281" s="156"/>
      <c r="K281" s="157"/>
      <c r="L281" s="197"/>
      <c r="M281" s="158"/>
      <c r="N281" s="158"/>
      <c r="O281" s="197"/>
      <c r="P281" s="158"/>
    </row>
    <row r="282" spans="1:17" s="40" customFormat="1" ht="23.25" hidden="1" customHeight="1" x14ac:dyDescent="0.3">
      <c r="A282" s="199" t="s">
        <v>6</v>
      </c>
      <c r="B282" s="200"/>
      <c r="C282" s="645"/>
      <c r="D282" s="38"/>
      <c r="E282" s="38"/>
      <c r="F282" s="39"/>
      <c r="G282" s="39"/>
      <c r="H282" s="202"/>
      <c r="I282" s="203"/>
      <c r="J282" s="156"/>
      <c r="K282" s="204"/>
      <c r="L282" s="155"/>
      <c r="M282" s="159"/>
      <c r="N282" s="159"/>
      <c r="O282" s="155"/>
      <c r="P282" s="159"/>
    </row>
    <row r="283" spans="1:17" s="9" customFormat="1" ht="16.5" hidden="1" customHeight="1" x14ac:dyDescent="0.25">
      <c r="A283" s="97"/>
      <c r="B283" s="96" t="s">
        <v>36</v>
      </c>
      <c r="C283" s="642"/>
      <c r="D283" s="98"/>
      <c r="E283" s="99"/>
      <c r="F283" s="100"/>
      <c r="G283" s="101"/>
      <c r="H283" s="102"/>
      <c r="I283" s="103"/>
      <c r="J283" s="105"/>
      <c r="K283" s="106"/>
      <c r="L283" s="53"/>
      <c r="M283" s="54"/>
      <c r="N283" s="55"/>
      <c r="O283" s="53"/>
      <c r="P283" s="54"/>
    </row>
    <row r="284" spans="1:17" s="121" customFormat="1" ht="24.75" hidden="1" customHeight="1" x14ac:dyDescent="0.25">
      <c r="A284" s="116"/>
      <c r="B284" s="117"/>
      <c r="C284" s="808"/>
      <c r="D284" s="73"/>
      <c r="E284" s="92"/>
      <c r="F284" s="82"/>
      <c r="G284" s="83"/>
      <c r="H284" s="134"/>
      <c r="I284" s="118"/>
      <c r="J284" s="205"/>
      <c r="K284" s="120"/>
      <c r="L284" s="135"/>
      <c r="M284" s="87">
        <f>K284</f>
        <v>0</v>
      </c>
      <c r="N284" s="136" t="e">
        <f>#REF!</f>
        <v>#REF!</v>
      </c>
      <c r="O284" s="135"/>
      <c r="P284" s="69" t="e">
        <f>K284-N284</f>
        <v>#REF!</v>
      </c>
    </row>
    <row r="285" spans="1:17" s="121" customFormat="1" ht="30.75" hidden="1" customHeight="1" x14ac:dyDescent="0.25">
      <c r="A285" s="162"/>
      <c r="B285" s="163"/>
      <c r="C285" s="809"/>
      <c r="D285" s="422"/>
      <c r="E285" s="92"/>
      <c r="F285" s="93"/>
      <c r="G285" s="206"/>
      <c r="H285" s="134"/>
      <c r="I285" s="95"/>
      <c r="J285" s="207"/>
      <c r="K285" s="353"/>
      <c r="L285" s="135"/>
      <c r="M285" s="137">
        <f>K285</f>
        <v>0</v>
      </c>
      <c r="N285" s="136" t="e">
        <f>#REF!</f>
        <v>#REF!</v>
      </c>
      <c r="O285" s="135"/>
      <c r="P285" s="137" t="e">
        <f>K285-N285</f>
        <v>#REF!</v>
      </c>
    </row>
    <row r="286" spans="1:17" s="56" customFormat="1" ht="15" hidden="1" x14ac:dyDescent="0.25">
      <c r="A286" s="41"/>
      <c r="B286" s="42" t="s">
        <v>27</v>
      </c>
      <c r="C286" s="639"/>
      <c r="D286" s="44"/>
      <c r="E286" s="45"/>
      <c r="F286" s="46"/>
      <c r="G286" s="47"/>
      <c r="H286" s="48"/>
      <c r="I286" s="49"/>
      <c r="J286" s="50"/>
      <c r="K286" s="51"/>
      <c r="L286" s="53"/>
      <c r="M286" s="54"/>
      <c r="N286" s="55"/>
      <c r="O286" s="53"/>
      <c r="P286" s="54"/>
    </row>
    <row r="287" spans="1:17" s="9" customFormat="1" ht="13.2" hidden="1" x14ac:dyDescent="0.25">
      <c r="A287" s="57"/>
      <c r="B287" s="58"/>
      <c r="C287" s="649"/>
      <c r="D287" s="60"/>
      <c r="E287" s="107"/>
      <c r="F287" s="82"/>
      <c r="G287" s="83"/>
      <c r="H287" s="114"/>
      <c r="I287" s="65"/>
      <c r="J287" s="66"/>
      <c r="K287" s="67"/>
      <c r="L287" s="115"/>
      <c r="M287" s="71">
        <f>K287</f>
        <v>0</v>
      </c>
      <c r="N287" s="70" t="e">
        <f>#REF!</f>
        <v>#REF!</v>
      </c>
      <c r="O287" s="115"/>
      <c r="P287" s="71" t="e">
        <f>K287-N287</f>
        <v>#REF!</v>
      </c>
    </row>
    <row r="288" spans="1:17" s="9" customFormat="1" ht="16.5" hidden="1" customHeight="1" x14ac:dyDescent="0.25">
      <c r="A288" s="97"/>
      <c r="B288" s="96" t="s">
        <v>28</v>
      </c>
      <c r="C288" s="642"/>
      <c r="D288" s="98"/>
      <c r="E288" s="99"/>
      <c r="F288" s="100"/>
      <c r="G288" s="101"/>
      <c r="H288" s="102"/>
      <c r="I288" s="103"/>
      <c r="J288" s="105"/>
      <c r="K288" s="106"/>
      <c r="L288" s="53"/>
      <c r="M288" s="54"/>
      <c r="N288" s="55"/>
      <c r="O288" s="53"/>
      <c r="P288" s="54"/>
    </row>
    <row r="289" spans="1:16" s="9" customFormat="1" ht="13.2" hidden="1" x14ac:dyDescent="0.25">
      <c r="A289" s="57"/>
      <c r="B289" s="58"/>
      <c r="C289" s="650"/>
      <c r="D289" s="60"/>
      <c r="E289" s="61"/>
      <c r="F289" s="62"/>
      <c r="G289" s="63"/>
      <c r="H289" s="64"/>
      <c r="I289" s="65"/>
      <c r="J289" s="209"/>
      <c r="K289" s="67"/>
      <c r="L289" s="68"/>
      <c r="M289" s="71">
        <f>K289</f>
        <v>0</v>
      </c>
      <c r="N289" s="160" t="e">
        <f>#REF!</f>
        <v>#REF!</v>
      </c>
      <c r="O289" s="68"/>
      <c r="P289" s="71" t="e">
        <f>K289-N289</f>
        <v>#REF!</v>
      </c>
    </row>
    <row r="290" spans="1:16" s="9" customFormat="1" ht="16.5" hidden="1" customHeight="1" x14ac:dyDescent="0.25">
      <c r="A290" s="97"/>
      <c r="B290" s="96" t="s">
        <v>30</v>
      </c>
      <c r="C290" s="642"/>
      <c r="D290" s="98"/>
      <c r="E290" s="99"/>
      <c r="F290" s="100"/>
      <c r="G290" s="101"/>
      <c r="H290" s="102"/>
      <c r="I290" s="103"/>
      <c r="J290" s="105"/>
      <c r="K290" s="106"/>
      <c r="L290" s="53"/>
      <c r="M290" s="54"/>
      <c r="N290" s="55"/>
      <c r="O290" s="53"/>
      <c r="P290" s="54"/>
    </row>
    <row r="291" spans="1:16" s="9" customFormat="1" ht="13.2" hidden="1" x14ac:dyDescent="0.25">
      <c r="A291" s="57"/>
      <c r="B291" s="58"/>
      <c r="C291" s="650"/>
      <c r="D291" s="60"/>
      <c r="E291" s="61"/>
      <c r="F291" s="62"/>
      <c r="G291" s="63"/>
      <c r="H291" s="114"/>
      <c r="I291" s="65"/>
      <c r="J291" s="210"/>
      <c r="K291" s="67"/>
      <c r="L291" s="68"/>
      <c r="M291" s="71"/>
      <c r="N291" s="160"/>
      <c r="O291" s="68"/>
      <c r="P291" s="71">
        <f>K291-N291</f>
        <v>0</v>
      </c>
    </row>
    <row r="292" spans="1:16" s="9" customFormat="1" ht="16.5" hidden="1" customHeight="1" x14ac:dyDescent="0.25">
      <c r="A292" s="97"/>
      <c r="B292" s="96" t="s">
        <v>31</v>
      </c>
      <c r="C292" s="642"/>
      <c r="D292" s="98"/>
      <c r="E292" s="99"/>
      <c r="F292" s="100"/>
      <c r="G292" s="101"/>
      <c r="H292" s="102"/>
      <c r="I292" s="103"/>
      <c r="J292" s="105"/>
      <c r="K292" s="106"/>
      <c r="L292" s="53"/>
      <c r="M292" s="54"/>
      <c r="N292" s="55"/>
      <c r="O292" s="53"/>
      <c r="P292" s="54"/>
    </row>
    <row r="293" spans="1:16" s="9" customFormat="1" ht="50.25" hidden="1" customHeight="1" x14ac:dyDescent="0.25">
      <c r="A293" s="57"/>
      <c r="B293" s="58"/>
      <c r="C293" s="650"/>
      <c r="D293" s="60"/>
      <c r="E293" s="61"/>
      <c r="F293" s="62"/>
      <c r="G293" s="211"/>
      <c r="H293" s="173"/>
      <c r="I293" s="212"/>
      <c r="J293" s="213"/>
      <c r="K293" s="214"/>
      <c r="L293" s="68"/>
      <c r="M293" s="71"/>
      <c r="N293" s="160" t="e">
        <f>#REF!</f>
        <v>#REF!</v>
      </c>
      <c r="O293" s="68"/>
      <c r="P293" s="71" t="e">
        <f>K293-N293</f>
        <v>#REF!</v>
      </c>
    </row>
    <row r="294" spans="1:16" s="9" customFormat="1" ht="15" hidden="1" x14ac:dyDescent="0.25">
      <c r="A294" s="97"/>
      <c r="B294" s="96" t="s">
        <v>35</v>
      </c>
      <c r="C294" s="642"/>
      <c r="D294" s="215"/>
      <c r="E294" s="105"/>
      <c r="F294" s="100"/>
      <c r="G294" s="216"/>
      <c r="H294" s="217"/>
      <c r="I294" s="218"/>
      <c r="J294" s="219"/>
      <c r="K294" s="220"/>
      <c r="L294" s="221"/>
      <c r="M294" s="222"/>
      <c r="N294" s="222"/>
      <c r="O294" s="221"/>
      <c r="P294" s="222"/>
    </row>
    <row r="295" spans="1:16" s="121" customFormat="1" ht="30.75" hidden="1" customHeight="1" x14ac:dyDescent="0.25">
      <c r="A295" s="89"/>
      <c r="B295" s="223"/>
      <c r="C295" s="651"/>
      <c r="D295" s="426"/>
      <c r="E295" s="92"/>
      <c r="F295" s="82"/>
      <c r="G295" s="94"/>
      <c r="H295" s="134"/>
      <c r="I295" s="84"/>
      <c r="J295" s="85"/>
      <c r="K295" s="86"/>
      <c r="L295" s="135"/>
      <c r="M295" s="87">
        <f>K295</f>
        <v>0</v>
      </c>
      <c r="N295" s="136" t="e">
        <f>#REF!</f>
        <v>#REF!</v>
      </c>
      <c r="O295" s="135"/>
      <c r="P295" s="137" t="e">
        <f>K295-N295</f>
        <v>#REF!</v>
      </c>
    </row>
    <row r="296" spans="1:16" s="9" customFormat="1" ht="16.5" hidden="1" customHeight="1" x14ac:dyDescent="0.25">
      <c r="A296" s="97"/>
      <c r="B296" s="96"/>
      <c r="C296" s="642" t="s">
        <v>29</v>
      </c>
      <c r="D296" s="98"/>
      <c r="E296" s="99"/>
      <c r="F296" s="100"/>
      <c r="G296" s="101"/>
      <c r="H296" s="102"/>
      <c r="I296" s="103"/>
      <c r="J296" s="105"/>
      <c r="K296" s="106"/>
      <c r="L296" s="53"/>
      <c r="M296" s="54"/>
      <c r="N296" s="55"/>
      <c r="O296" s="53"/>
      <c r="P296" s="54"/>
    </row>
    <row r="297" spans="1:16" s="121" customFormat="1" ht="24.75" hidden="1" customHeight="1" x14ac:dyDescent="0.25">
      <c r="A297" s="224"/>
      <c r="B297" s="225"/>
      <c r="C297" s="652"/>
      <c r="D297" s="227"/>
      <c r="E297" s="92"/>
      <c r="F297" s="82"/>
      <c r="G297" s="83"/>
      <c r="H297" s="134"/>
      <c r="I297" s="118"/>
      <c r="J297" s="119"/>
      <c r="K297" s="120"/>
      <c r="L297" s="127"/>
      <c r="M297" s="128">
        <f>K297</f>
        <v>0</v>
      </c>
      <c r="N297" s="129"/>
      <c r="O297" s="127"/>
      <c r="P297" s="228">
        <f>K297-N297</f>
        <v>0</v>
      </c>
    </row>
    <row r="298" spans="1:16" s="110" customFormat="1" ht="21" hidden="1" customHeight="1" x14ac:dyDescent="0.25">
      <c r="A298" s="229"/>
      <c r="B298" s="230"/>
      <c r="C298" s="652"/>
      <c r="D298" s="231"/>
      <c r="E298" s="414"/>
      <c r="F298" s="232"/>
      <c r="G298" s="231"/>
      <c r="H298" s="233"/>
      <c r="I298" s="234"/>
      <c r="J298" s="235"/>
      <c r="K298" s="236"/>
      <c r="L298" s="237"/>
      <c r="M298" s="128">
        <f>K298</f>
        <v>0</v>
      </c>
      <c r="N298" s="129"/>
      <c r="O298" s="237"/>
      <c r="P298" s="128"/>
    </row>
    <row r="299" spans="1:16" s="154" customFormat="1" ht="22.65" hidden="1" customHeight="1" collapsed="1" x14ac:dyDescent="0.25">
      <c r="A299" s="143" t="s">
        <v>2</v>
      </c>
      <c r="B299" s="144"/>
      <c r="C299" s="150"/>
      <c r="D299" s="146"/>
      <c r="E299" s="146"/>
      <c r="F299" s="147"/>
      <c r="G299" s="147"/>
      <c r="H299" s="148"/>
      <c r="I299" s="149"/>
      <c r="J299" s="184"/>
      <c r="K299" s="150"/>
      <c r="L299" s="152"/>
      <c r="M299" s="151"/>
      <c r="N299" s="151"/>
      <c r="O299" s="152"/>
      <c r="P299" s="151"/>
    </row>
    <row r="300" spans="1:16" s="40" customFormat="1" ht="23.25" hidden="1" customHeight="1" x14ac:dyDescent="0.3">
      <c r="A300" s="35" t="s">
        <v>7</v>
      </c>
      <c r="B300" s="36"/>
      <c r="C300" s="638"/>
      <c r="D300" s="38"/>
      <c r="E300" s="38"/>
      <c r="F300" s="39"/>
      <c r="G300" s="39"/>
      <c r="H300" s="197"/>
      <c r="I300" s="198"/>
      <c r="J300" s="156"/>
      <c r="K300" s="157"/>
      <c r="L300" s="155"/>
      <c r="M300" s="158"/>
      <c r="N300" s="158"/>
      <c r="O300" s="155"/>
      <c r="P300" s="158"/>
    </row>
    <row r="301" spans="1:16" s="40" customFormat="1" ht="23.25" hidden="1" customHeight="1" x14ac:dyDescent="0.3">
      <c r="A301" s="238"/>
      <c r="B301" s="239" t="s">
        <v>8</v>
      </c>
      <c r="C301" s="653"/>
      <c r="D301" s="241"/>
      <c r="E301" s="242"/>
      <c r="F301" s="243"/>
      <c r="G301" s="244"/>
      <c r="H301" s="245"/>
      <c r="I301" s="246"/>
      <c r="J301" s="247"/>
      <c r="K301" s="248"/>
      <c r="L301" s="249"/>
      <c r="M301" s="250"/>
      <c r="N301" s="251"/>
      <c r="O301" s="249"/>
      <c r="P301" s="250"/>
    </row>
    <row r="302" spans="1:16" s="121" customFormat="1" ht="52.5" hidden="1" customHeight="1" x14ac:dyDescent="0.25">
      <c r="A302" s="162"/>
      <c r="B302" s="163"/>
      <c r="C302" s="648"/>
      <c r="D302" s="253"/>
      <c r="E302" s="81"/>
      <c r="F302" s="82"/>
      <c r="G302" s="83"/>
      <c r="H302" s="134"/>
      <c r="I302" s="84"/>
      <c r="J302" s="85"/>
      <c r="K302" s="86"/>
      <c r="L302" s="135"/>
      <c r="M302" s="87">
        <f>K302</f>
        <v>0</v>
      </c>
      <c r="N302" s="160" t="e">
        <f>#REF!</f>
        <v>#REF!</v>
      </c>
      <c r="O302" s="135"/>
      <c r="P302" s="87" t="e">
        <f>K302-N302</f>
        <v>#REF!</v>
      </c>
    </row>
    <row r="303" spans="1:16" s="56" customFormat="1" ht="15" hidden="1" x14ac:dyDescent="0.25">
      <c r="A303" s="41"/>
      <c r="B303" s="96" t="s">
        <v>32</v>
      </c>
      <c r="C303" s="642"/>
      <c r="D303" s="44"/>
      <c r="E303" s="45"/>
      <c r="F303" s="46"/>
      <c r="G303" s="47"/>
      <c r="H303" s="48"/>
      <c r="I303" s="49"/>
      <c r="J303" s="50"/>
      <c r="K303" s="51"/>
      <c r="L303" s="53"/>
      <c r="M303" s="54"/>
      <c r="N303" s="55"/>
      <c r="O303" s="53"/>
      <c r="P303" s="54"/>
    </row>
    <row r="304" spans="1:16" s="121" customFormat="1" ht="13.2" hidden="1" x14ac:dyDescent="0.25">
      <c r="A304" s="116"/>
      <c r="B304" s="117"/>
      <c r="C304" s="654"/>
      <c r="D304" s="73"/>
      <c r="E304" s="254"/>
      <c r="F304" s="170"/>
      <c r="G304" s="83"/>
      <c r="H304" s="134"/>
      <c r="I304" s="118"/>
      <c r="J304" s="119"/>
      <c r="K304" s="120"/>
      <c r="L304" s="91"/>
      <c r="M304" s="87">
        <f>K304</f>
        <v>0</v>
      </c>
      <c r="N304" s="88"/>
      <c r="O304" s="91"/>
      <c r="P304" s="87">
        <f>K304-N304</f>
        <v>0</v>
      </c>
    </row>
    <row r="305" spans="1:16" s="9" customFormat="1" ht="15.75" hidden="1" customHeight="1" x14ac:dyDescent="0.25">
      <c r="A305" s="255"/>
      <c r="B305" s="256"/>
      <c r="C305" s="647"/>
      <c r="D305" s="426"/>
      <c r="E305" s="92"/>
      <c r="F305" s="93"/>
      <c r="G305" s="257"/>
      <c r="H305" s="114"/>
      <c r="I305" s="95"/>
      <c r="J305" s="207"/>
      <c r="K305" s="372"/>
      <c r="L305" s="135"/>
      <c r="M305" s="87">
        <f>K305</f>
        <v>0</v>
      </c>
      <c r="N305" s="88" t="e">
        <f>#REF!</f>
        <v>#REF!</v>
      </c>
      <c r="O305" s="135"/>
      <c r="P305" s="87" t="e">
        <f>K305-N305</f>
        <v>#REF!</v>
      </c>
    </row>
    <row r="306" spans="1:16" s="56" customFormat="1" ht="15.75" hidden="1" customHeight="1" x14ac:dyDescent="0.25">
      <c r="A306" s="41"/>
      <c r="B306" s="96" t="s">
        <v>34</v>
      </c>
      <c r="C306" s="642"/>
      <c r="D306" s="222"/>
      <c r="E306" s="50"/>
      <c r="F306" s="46"/>
      <c r="G306" s="47"/>
      <c r="H306" s="258"/>
      <c r="I306" s="49"/>
      <c r="J306" s="259"/>
      <c r="K306" s="51"/>
      <c r="L306" s="221"/>
      <c r="M306" s="222"/>
      <c r="N306" s="222"/>
      <c r="O306" s="221"/>
      <c r="P306" s="222"/>
    </row>
    <row r="307" spans="1:16" s="121" customFormat="1" ht="28.5" hidden="1" customHeight="1" x14ac:dyDescent="0.25">
      <c r="A307" s="116"/>
      <c r="B307" s="117"/>
      <c r="C307" s="654"/>
      <c r="D307" s="73"/>
      <c r="E307" s="254"/>
      <c r="F307" s="82"/>
      <c r="G307" s="83"/>
      <c r="H307" s="134"/>
      <c r="I307" s="118"/>
      <c r="J307" s="119"/>
      <c r="K307" s="120"/>
      <c r="L307" s="135"/>
      <c r="M307" s="87">
        <f>K307</f>
        <v>0</v>
      </c>
      <c r="N307" s="181" t="e">
        <f>#REF!</f>
        <v>#REF!</v>
      </c>
      <c r="O307" s="135"/>
      <c r="P307" s="87" t="e">
        <f>K307-N307</f>
        <v>#REF!</v>
      </c>
    </row>
    <row r="308" spans="1:16" s="56" customFormat="1" ht="15" hidden="1" x14ac:dyDescent="0.25">
      <c r="A308" s="41"/>
      <c r="B308" s="96" t="s">
        <v>33</v>
      </c>
      <c r="C308" s="642"/>
      <c r="D308" s="44"/>
      <c r="E308" s="45"/>
      <c r="F308" s="46"/>
      <c r="G308" s="47"/>
      <c r="H308" s="48"/>
      <c r="I308" s="49"/>
      <c r="J308" s="50"/>
      <c r="K308" s="51"/>
      <c r="L308" s="53"/>
      <c r="M308" s="54"/>
      <c r="N308" s="55"/>
      <c r="O308" s="53"/>
      <c r="P308" s="54"/>
    </row>
    <row r="309" spans="1:16" s="121" customFormat="1" ht="13.2" hidden="1" x14ac:dyDescent="0.25">
      <c r="A309" s="116"/>
      <c r="B309" s="117"/>
      <c r="C309" s="655"/>
      <c r="D309" s="73"/>
      <c r="E309" s="254"/>
      <c r="F309" s="170"/>
      <c r="G309" s="172"/>
      <c r="H309" s="260"/>
      <c r="I309" s="75"/>
      <c r="J309" s="76"/>
      <c r="K309" s="261"/>
      <c r="L309" s="91"/>
      <c r="M309" s="87">
        <f>K309</f>
        <v>0</v>
      </c>
      <c r="N309" s="88"/>
      <c r="O309" s="91"/>
      <c r="P309" s="87">
        <f>K309-N309</f>
        <v>0</v>
      </c>
    </row>
    <row r="310" spans="1:16" s="180" customFormat="1" ht="15.75" hidden="1" customHeight="1" x14ac:dyDescent="0.25">
      <c r="A310" s="262"/>
      <c r="B310" s="263"/>
      <c r="C310" s="656"/>
      <c r="D310" s="123"/>
      <c r="E310" s="265"/>
      <c r="F310" s="138"/>
      <c r="G310" s="165"/>
      <c r="H310" s="166"/>
      <c r="I310" s="109"/>
      <c r="J310" s="125"/>
      <c r="K310" s="266"/>
      <c r="L310" s="127"/>
      <c r="M310" s="128">
        <f>K310</f>
        <v>0</v>
      </c>
      <c r="N310" s="179" t="e">
        <f>#REF!</f>
        <v>#REF!</v>
      </c>
      <c r="O310" s="127"/>
      <c r="P310" s="128" t="e">
        <f>K310-N310</f>
        <v>#REF!</v>
      </c>
    </row>
    <row r="311" spans="1:16" s="56" customFormat="1" ht="15" hidden="1" x14ac:dyDescent="0.25">
      <c r="A311" s="41"/>
      <c r="B311" s="96" t="s">
        <v>5</v>
      </c>
      <c r="C311" s="642"/>
      <c r="D311" s="44"/>
      <c r="E311" s="45"/>
      <c r="F311" s="46"/>
      <c r="G311" s="47"/>
      <c r="H311" s="48"/>
      <c r="I311" s="49"/>
      <c r="J311" s="50"/>
      <c r="K311" s="51"/>
      <c r="L311" s="53"/>
      <c r="M311" s="54"/>
      <c r="N311" s="55"/>
      <c r="O311" s="53"/>
      <c r="P311" s="54"/>
    </row>
    <row r="312" spans="1:16" s="131" customFormat="1" ht="13.2" hidden="1" x14ac:dyDescent="0.25">
      <c r="A312" s="267"/>
      <c r="B312" s="268"/>
      <c r="C312" s="657"/>
      <c r="D312" s="270"/>
      <c r="E312" s="271"/>
      <c r="F312" s="138"/>
      <c r="G312" s="165"/>
      <c r="H312" s="124"/>
      <c r="I312" s="272"/>
      <c r="J312" s="273"/>
      <c r="K312" s="274"/>
      <c r="L312" s="127"/>
      <c r="M312" s="128">
        <f>K312</f>
        <v>0</v>
      </c>
      <c r="N312" s="179"/>
      <c r="O312" s="127"/>
      <c r="P312" s="128">
        <f>K312-N312</f>
        <v>0</v>
      </c>
    </row>
    <row r="313" spans="1:16" s="9" customFormat="1" ht="15.75" hidden="1" customHeight="1" x14ac:dyDescent="0.25">
      <c r="A313" s="255"/>
      <c r="B313" s="256"/>
      <c r="C313" s="647"/>
      <c r="D313" s="426"/>
      <c r="E313" s="92"/>
      <c r="F313" s="93"/>
      <c r="G313" s="257"/>
      <c r="H313" s="114"/>
      <c r="I313" s="95"/>
      <c r="J313" s="207"/>
      <c r="K313" s="372"/>
      <c r="L313" s="135"/>
      <c r="M313" s="87">
        <f>K313</f>
        <v>0</v>
      </c>
      <c r="N313" s="88" t="e">
        <f>#REF!</f>
        <v>#REF!</v>
      </c>
      <c r="O313" s="135"/>
      <c r="P313" s="87" t="e">
        <f>K313-N313</f>
        <v>#REF!</v>
      </c>
    </row>
    <row r="314" spans="1:16" s="56" customFormat="1" ht="15.75" hidden="1" customHeight="1" x14ac:dyDescent="0.25">
      <c r="A314" s="41"/>
      <c r="B314" s="42" t="s">
        <v>19</v>
      </c>
      <c r="C314" s="639"/>
      <c r="D314" s="44"/>
      <c r="E314" s="45"/>
      <c r="F314" s="46"/>
      <c r="G314" s="47"/>
      <c r="H314" s="48"/>
      <c r="I314" s="49"/>
      <c r="J314" s="50"/>
      <c r="K314" s="51"/>
      <c r="L314" s="53"/>
      <c r="M314" s="54"/>
      <c r="N314" s="55"/>
      <c r="O314" s="53"/>
      <c r="P314" s="54"/>
    </row>
    <row r="315" spans="1:16" s="121" customFormat="1" ht="41.25" hidden="1" customHeight="1" x14ac:dyDescent="0.25">
      <c r="A315" s="78"/>
      <c r="B315" s="79"/>
      <c r="C315" s="658"/>
      <c r="D315" s="80"/>
      <c r="E315" s="81"/>
      <c r="F315" s="82"/>
      <c r="G315" s="83"/>
      <c r="H315" s="134"/>
      <c r="I315" s="84"/>
      <c r="J315" s="85"/>
      <c r="K315" s="86"/>
      <c r="L315" s="135"/>
      <c r="M315" s="87">
        <f t="shared" ref="M315:M335" si="86">K315</f>
        <v>0</v>
      </c>
      <c r="N315" s="160" t="e">
        <f>#REF!</f>
        <v>#REF!</v>
      </c>
      <c r="O315" s="135"/>
      <c r="P315" s="87" t="e">
        <f t="shared" ref="P315:P338" si="87">K315-N315</f>
        <v>#REF!</v>
      </c>
    </row>
    <row r="316" spans="1:16" s="121" customFormat="1" ht="29.25" hidden="1" customHeight="1" x14ac:dyDescent="0.25">
      <c r="A316" s="78"/>
      <c r="B316" s="79"/>
      <c r="C316" s="658"/>
      <c r="D316" s="80"/>
      <c r="E316" s="81"/>
      <c r="F316" s="82"/>
      <c r="G316" s="83"/>
      <c r="H316" s="134"/>
      <c r="I316" s="174"/>
      <c r="J316" s="85"/>
      <c r="K316" s="86"/>
      <c r="L316" s="135"/>
      <c r="M316" s="87">
        <f t="shared" si="86"/>
        <v>0</v>
      </c>
      <c r="N316" s="88" t="e">
        <f>#REF!</f>
        <v>#REF!</v>
      </c>
      <c r="O316" s="135"/>
      <c r="P316" s="87" t="e">
        <f t="shared" si="87"/>
        <v>#REF!</v>
      </c>
    </row>
    <row r="317" spans="1:16" s="9" customFormat="1" ht="13.2" hidden="1" x14ac:dyDescent="0.25">
      <c r="A317" s="78"/>
      <c r="B317" s="79"/>
      <c r="D317" s="80"/>
      <c r="E317" s="81"/>
      <c r="F317" s="82"/>
      <c r="G317" s="83"/>
      <c r="H317" s="114"/>
      <c r="I317" s="84"/>
      <c r="J317" s="85"/>
      <c r="K317" s="86"/>
      <c r="L317" s="115"/>
      <c r="M317" s="87">
        <f t="shared" si="86"/>
        <v>0</v>
      </c>
      <c r="N317" s="88" t="e">
        <f>#REF!</f>
        <v>#REF!</v>
      </c>
      <c r="O317" s="115"/>
      <c r="P317" s="87" t="e">
        <f t="shared" si="87"/>
        <v>#REF!</v>
      </c>
    </row>
    <row r="318" spans="1:16" s="180" customFormat="1" ht="13.2" hidden="1" x14ac:dyDescent="0.25">
      <c r="A318" s="122"/>
      <c r="B318" s="176"/>
      <c r="C318" s="276"/>
      <c r="D318" s="177"/>
      <c r="E318" s="178"/>
      <c r="F318" s="138"/>
      <c r="G318" s="165"/>
      <c r="H318" s="166"/>
      <c r="I318" s="167"/>
      <c r="J318" s="168"/>
      <c r="K318" s="126"/>
      <c r="L318" s="169"/>
      <c r="M318" s="128">
        <f t="shared" si="86"/>
        <v>0</v>
      </c>
      <c r="N318" s="179" t="e">
        <f>#REF!</f>
        <v>#REF!</v>
      </c>
      <c r="O318" s="169"/>
      <c r="P318" s="128" t="e">
        <f t="shared" si="87"/>
        <v>#REF!</v>
      </c>
    </row>
    <row r="319" spans="1:16" s="180" customFormat="1" ht="36.9" hidden="1" customHeight="1" x14ac:dyDescent="0.25">
      <c r="A319" s="122"/>
      <c r="B319" s="176"/>
      <c r="C319" s="276"/>
      <c r="D319" s="177"/>
      <c r="E319" s="178"/>
      <c r="F319" s="138"/>
      <c r="G319" s="165"/>
      <c r="H319" s="166"/>
      <c r="I319" s="167"/>
      <c r="J319" s="168"/>
      <c r="K319" s="126"/>
      <c r="L319" s="169"/>
      <c r="M319" s="128">
        <f t="shared" si="86"/>
        <v>0</v>
      </c>
      <c r="N319" s="179" t="e">
        <f>#REF!</f>
        <v>#REF!</v>
      </c>
      <c r="O319" s="169"/>
      <c r="P319" s="128" t="e">
        <f t="shared" si="87"/>
        <v>#REF!</v>
      </c>
    </row>
    <row r="320" spans="1:16" s="9" customFormat="1" ht="36.9" hidden="1" customHeight="1" x14ac:dyDescent="0.25">
      <c r="A320" s="78"/>
      <c r="B320" s="79"/>
      <c r="C320" s="658"/>
      <c r="D320" s="80"/>
      <c r="E320" s="81"/>
      <c r="F320" s="170"/>
      <c r="G320" s="172"/>
      <c r="H320" s="173"/>
      <c r="I320" s="174"/>
      <c r="J320" s="171"/>
      <c r="K320" s="175"/>
      <c r="L320" s="68"/>
      <c r="M320" s="87">
        <f t="shared" si="86"/>
        <v>0</v>
      </c>
      <c r="N320" s="88" t="e">
        <f>#REF!</f>
        <v>#REF!</v>
      </c>
      <c r="O320" s="68"/>
      <c r="P320" s="87" t="e">
        <f t="shared" si="87"/>
        <v>#REF!</v>
      </c>
    </row>
    <row r="321" spans="1:16" s="9" customFormat="1" ht="36.9" hidden="1" customHeight="1" x14ac:dyDescent="0.25">
      <c r="A321" s="78"/>
      <c r="B321" s="79"/>
      <c r="C321" s="658"/>
      <c r="D321" s="80"/>
      <c r="E321" s="81"/>
      <c r="F321" s="170"/>
      <c r="G321" s="172"/>
      <c r="H321" s="173"/>
      <c r="I321" s="174"/>
      <c r="J321" s="171"/>
      <c r="K321" s="175"/>
      <c r="L321" s="68"/>
      <c r="M321" s="87">
        <f t="shared" si="86"/>
        <v>0</v>
      </c>
      <c r="N321" s="88" t="e">
        <f>#REF!</f>
        <v>#REF!</v>
      </c>
      <c r="O321" s="68"/>
      <c r="P321" s="87" t="e">
        <f t="shared" si="87"/>
        <v>#REF!</v>
      </c>
    </row>
    <row r="322" spans="1:16" s="9" customFormat="1" ht="36.9" hidden="1" customHeight="1" x14ac:dyDescent="0.25">
      <c r="A322" s="78"/>
      <c r="B322" s="79"/>
      <c r="C322" s="658"/>
      <c r="D322" s="80"/>
      <c r="E322" s="81"/>
      <c r="F322" s="82"/>
      <c r="G322" s="83"/>
      <c r="H322" s="114"/>
      <c r="I322" s="84"/>
      <c r="J322" s="85"/>
      <c r="K322" s="86"/>
      <c r="L322" s="115"/>
      <c r="M322" s="87">
        <f t="shared" si="86"/>
        <v>0</v>
      </c>
      <c r="N322" s="160" t="e">
        <f>#REF!</f>
        <v>#REF!</v>
      </c>
      <c r="O322" s="115"/>
      <c r="P322" s="87" t="e">
        <f t="shared" si="87"/>
        <v>#REF!</v>
      </c>
    </row>
    <row r="323" spans="1:16" s="9" customFormat="1" ht="26.25" hidden="1" customHeight="1" x14ac:dyDescent="0.25">
      <c r="A323" s="78"/>
      <c r="B323" s="79"/>
      <c r="C323" s="658"/>
      <c r="D323" s="80"/>
      <c r="E323" s="81"/>
      <c r="F323" s="82"/>
      <c r="G323" s="83"/>
      <c r="H323" s="114"/>
      <c r="I323" s="84"/>
      <c r="J323" s="85"/>
      <c r="K323" s="86"/>
      <c r="L323" s="115"/>
      <c r="M323" s="87">
        <f t="shared" si="86"/>
        <v>0</v>
      </c>
      <c r="N323" s="88" t="e">
        <f>#REF!</f>
        <v>#REF!</v>
      </c>
      <c r="O323" s="68"/>
      <c r="P323" s="87" t="e">
        <f t="shared" si="87"/>
        <v>#REF!</v>
      </c>
    </row>
    <row r="324" spans="1:16" s="180" customFormat="1" ht="26.25" hidden="1" customHeight="1" x14ac:dyDescent="0.25">
      <c r="A324" s="122"/>
      <c r="B324" s="176"/>
      <c r="C324" s="659"/>
      <c r="D324" s="177"/>
      <c r="E324" s="178"/>
      <c r="F324" s="138"/>
      <c r="G324" s="165"/>
      <c r="H324" s="166"/>
      <c r="I324" s="84"/>
      <c r="J324" s="85"/>
      <c r="K324" s="86"/>
      <c r="L324" s="169"/>
      <c r="M324" s="128">
        <f t="shared" si="86"/>
        <v>0</v>
      </c>
      <c r="N324" s="160" t="e">
        <f>#REF!</f>
        <v>#REF!</v>
      </c>
      <c r="O324" s="169"/>
      <c r="P324" s="128" t="e">
        <f t="shared" si="87"/>
        <v>#REF!</v>
      </c>
    </row>
    <row r="325" spans="1:16" s="180" customFormat="1" ht="26.25" hidden="1" customHeight="1" x14ac:dyDescent="0.25">
      <c r="A325" s="122"/>
      <c r="B325" s="176"/>
      <c r="C325" s="276"/>
      <c r="D325" s="177"/>
      <c r="E325" s="178"/>
      <c r="F325" s="138"/>
      <c r="G325" s="165"/>
      <c r="H325" s="166"/>
      <c r="I325" s="84"/>
      <c r="J325" s="85"/>
      <c r="K325" s="86"/>
      <c r="L325" s="169"/>
      <c r="M325" s="128">
        <f t="shared" si="86"/>
        <v>0</v>
      </c>
      <c r="N325" s="160" t="e">
        <f>#REF!</f>
        <v>#REF!</v>
      </c>
      <c r="O325" s="169"/>
      <c r="P325" s="128" t="e">
        <f t="shared" si="87"/>
        <v>#REF!</v>
      </c>
    </row>
    <row r="326" spans="1:16" s="9" customFormat="1" ht="26.25" hidden="1" customHeight="1" x14ac:dyDescent="0.25">
      <c r="A326" s="78"/>
      <c r="B326" s="79"/>
      <c r="C326" s="647"/>
      <c r="D326" s="80"/>
      <c r="E326" s="81"/>
      <c r="F326" s="82"/>
      <c r="G326" s="83"/>
      <c r="H326" s="114"/>
      <c r="I326" s="84"/>
      <c r="J326" s="85"/>
      <c r="K326" s="86"/>
      <c r="L326" s="115"/>
      <c r="M326" s="87">
        <f t="shared" si="86"/>
        <v>0</v>
      </c>
      <c r="N326" s="181" t="e">
        <f>#REF!</f>
        <v>#REF!</v>
      </c>
      <c r="O326" s="68"/>
      <c r="P326" s="87" t="e">
        <f t="shared" si="87"/>
        <v>#REF!</v>
      </c>
    </row>
    <row r="327" spans="1:16" s="180" customFormat="1" ht="26.25" hidden="1" customHeight="1" x14ac:dyDescent="0.25">
      <c r="A327" s="122"/>
      <c r="B327" s="176"/>
      <c r="C327" s="276"/>
      <c r="D327" s="177"/>
      <c r="E327" s="178"/>
      <c r="F327" s="138"/>
      <c r="G327" s="165"/>
      <c r="H327" s="166"/>
      <c r="I327" s="167"/>
      <c r="J327" s="168"/>
      <c r="K327" s="126"/>
      <c r="L327" s="169"/>
      <c r="M327" s="128">
        <f t="shared" si="86"/>
        <v>0</v>
      </c>
      <c r="N327" s="179" t="e">
        <f>#REF!</f>
        <v>#REF!</v>
      </c>
      <c r="O327" s="169"/>
      <c r="P327" s="128" t="e">
        <f t="shared" si="87"/>
        <v>#REF!</v>
      </c>
    </row>
    <row r="328" spans="1:16" s="9" customFormat="1" ht="26.25" hidden="1" customHeight="1" x14ac:dyDescent="0.25">
      <c r="A328" s="78"/>
      <c r="B328" s="79"/>
      <c r="C328" s="647"/>
      <c r="D328" s="80"/>
      <c r="E328" s="81"/>
      <c r="F328" s="278"/>
      <c r="G328" s="83"/>
      <c r="H328" s="114"/>
      <c r="I328" s="174"/>
      <c r="J328" s="171"/>
      <c r="K328" s="86"/>
      <c r="L328" s="115"/>
      <c r="M328" s="87">
        <f t="shared" si="86"/>
        <v>0</v>
      </c>
      <c r="N328" s="88" t="e">
        <f>#REF!</f>
        <v>#REF!</v>
      </c>
      <c r="O328" s="68"/>
      <c r="P328" s="87" t="e">
        <f t="shared" si="87"/>
        <v>#REF!</v>
      </c>
    </row>
    <row r="329" spans="1:16" s="9" customFormat="1" ht="26.25" hidden="1" customHeight="1" x14ac:dyDescent="0.25">
      <c r="A329" s="78"/>
      <c r="B329" s="79"/>
      <c r="C329" s="647"/>
      <c r="D329" s="80"/>
      <c r="E329" s="81"/>
      <c r="F329" s="278"/>
      <c r="G329" s="83"/>
      <c r="H329" s="114"/>
      <c r="I329" s="174"/>
      <c r="J329" s="279"/>
      <c r="K329" s="86"/>
      <c r="L329" s="115"/>
      <c r="M329" s="87">
        <f t="shared" si="86"/>
        <v>0</v>
      </c>
      <c r="N329" s="88" t="e">
        <f>#REF!</f>
        <v>#REF!</v>
      </c>
      <c r="O329" s="68"/>
      <c r="P329" s="87" t="e">
        <f t="shared" si="87"/>
        <v>#REF!</v>
      </c>
    </row>
    <row r="330" spans="1:16" s="180" customFormat="1" ht="26.25" hidden="1" customHeight="1" x14ac:dyDescent="0.25">
      <c r="A330" s="122"/>
      <c r="B330" s="176"/>
      <c r="C330" s="276"/>
      <c r="D330" s="177"/>
      <c r="E330" s="178"/>
      <c r="F330" s="280"/>
      <c r="G330" s="165"/>
      <c r="H330" s="166"/>
      <c r="I330" s="167"/>
      <c r="J330" s="281"/>
      <c r="K330" s="126"/>
      <c r="L330" s="169"/>
      <c r="M330" s="128">
        <f t="shared" si="86"/>
        <v>0</v>
      </c>
      <c r="N330" s="179" t="e">
        <f>#REF!</f>
        <v>#REF!</v>
      </c>
      <c r="O330" s="169"/>
      <c r="P330" s="128" t="e">
        <f t="shared" si="87"/>
        <v>#REF!</v>
      </c>
    </row>
    <row r="331" spans="1:16" s="9" customFormat="1" ht="43.5" hidden="1" customHeight="1" x14ac:dyDescent="0.25">
      <c r="A331" s="78"/>
      <c r="B331" s="79"/>
      <c r="C331" s="647"/>
      <c r="D331" s="80"/>
      <c r="E331" s="81"/>
      <c r="F331" s="278"/>
      <c r="G331" s="83"/>
      <c r="H331" s="114"/>
      <c r="I331" s="84"/>
      <c r="J331" s="282"/>
      <c r="K331" s="86"/>
      <c r="L331" s="115"/>
      <c r="M331" s="87">
        <f t="shared" si="86"/>
        <v>0</v>
      </c>
      <c r="N331" s="88" t="e">
        <f>#REF!</f>
        <v>#REF!</v>
      </c>
      <c r="O331" s="115"/>
      <c r="P331" s="87" t="e">
        <f t="shared" si="87"/>
        <v>#REF!</v>
      </c>
    </row>
    <row r="332" spans="1:16" s="9" customFormat="1" ht="31.65" hidden="1" customHeight="1" x14ac:dyDescent="0.25">
      <c r="A332" s="78"/>
      <c r="B332" s="79"/>
      <c r="C332" s="647"/>
      <c r="D332" s="80"/>
      <c r="E332" s="81"/>
      <c r="F332" s="278"/>
      <c r="G332" s="83"/>
      <c r="H332" s="114"/>
      <c r="I332" s="174"/>
      <c r="J332" s="279"/>
      <c r="K332" s="86"/>
      <c r="L332" s="115"/>
      <c r="M332" s="87">
        <f t="shared" si="86"/>
        <v>0</v>
      </c>
      <c r="N332" s="88" t="e">
        <f>#REF!</f>
        <v>#REF!</v>
      </c>
      <c r="O332" s="68"/>
      <c r="P332" s="87" t="e">
        <f t="shared" si="87"/>
        <v>#REF!</v>
      </c>
    </row>
    <row r="333" spans="1:16" s="9" customFormat="1" ht="32.25" hidden="1" customHeight="1" x14ac:dyDescent="0.25">
      <c r="A333" s="78"/>
      <c r="B333" s="79"/>
      <c r="C333" s="647"/>
      <c r="D333" s="80"/>
      <c r="E333" s="81"/>
      <c r="F333" s="82"/>
      <c r="G333" s="83"/>
      <c r="H333" s="114"/>
      <c r="I333" s="174"/>
      <c r="J333" s="171"/>
      <c r="K333" s="86"/>
      <c r="L333" s="115"/>
      <c r="M333" s="87">
        <f t="shared" si="86"/>
        <v>0</v>
      </c>
      <c r="N333" s="88" t="e">
        <f>#REF!</f>
        <v>#REF!</v>
      </c>
      <c r="O333" s="68"/>
      <c r="P333" s="87" t="e">
        <f t="shared" si="87"/>
        <v>#REF!</v>
      </c>
    </row>
    <row r="334" spans="1:16" s="9" customFormat="1" ht="26.25" hidden="1" customHeight="1" x14ac:dyDescent="0.25">
      <c r="A334" s="78"/>
      <c r="B334" s="79"/>
      <c r="C334" s="658"/>
      <c r="D334" s="80"/>
      <c r="E334" s="81"/>
      <c r="F334" s="82"/>
      <c r="G334" s="283"/>
      <c r="H334" s="114"/>
      <c r="I334" s="174"/>
      <c r="J334" s="171"/>
      <c r="K334" s="86"/>
      <c r="L334" s="115"/>
      <c r="M334" s="87">
        <f t="shared" si="86"/>
        <v>0</v>
      </c>
      <c r="N334" s="88" t="e">
        <f>#REF!</f>
        <v>#REF!</v>
      </c>
      <c r="O334" s="68"/>
      <c r="P334" s="87" t="e">
        <f t="shared" si="87"/>
        <v>#REF!</v>
      </c>
    </row>
    <row r="335" spans="1:16" s="9" customFormat="1" ht="26.25" hidden="1" customHeight="1" x14ac:dyDescent="0.25">
      <c r="A335" s="78"/>
      <c r="B335" s="79"/>
      <c r="C335" s="647"/>
      <c r="D335" s="80"/>
      <c r="E335" s="81"/>
      <c r="F335" s="82"/>
      <c r="G335" s="80"/>
      <c r="H335" s="114"/>
      <c r="I335" s="174"/>
      <c r="J335" s="171"/>
      <c r="K335" s="86"/>
      <c r="L335" s="115"/>
      <c r="M335" s="87">
        <f t="shared" si="86"/>
        <v>0</v>
      </c>
      <c r="N335" s="88" t="e">
        <f>#REF!</f>
        <v>#REF!</v>
      </c>
      <c r="O335" s="68"/>
      <c r="P335" s="87" t="e">
        <f t="shared" si="87"/>
        <v>#REF!</v>
      </c>
    </row>
    <row r="336" spans="1:16" s="9" customFormat="1" ht="26.25" hidden="1" customHeight="1" x14ac:dyDescent="0.25">
      <c r="A336" s="78"/>
      <c r="B336" s="79"/>
      <c r="C336" s="647"/>
      <c r="D336" s="80"/>
      <c r="E336" s="81"/>
      <c r="F336" s="82"/>
      <c r="G336" s="80"/>
      <c r="H336" s="114"/>
      <c r="I336" s="174"/>
      <c r="J336" s="171"/>
      <c r="K336" s="86"/>
      <c r="L336" s="115"/>
      <c r="M336" s="87"/>
      <c r="N336" s="88" t="e">
        <f>#REF!</f>
        <v>#REF!</v>
      </c>
      <c r="O336" s="68"/>
      <c r="P336" s="87" t="e">
        <f t="shared" si="87"/>
        <v>#REF!</v>
      </c>
    </row>
    <row r="337" spans="1:16" s="9" customFormat="1" ht="26.25" hidden="1" customHeight="1" x14ac:dyDescent="0.25">
      <c r="A337" s="78"/>
      <c r="B337" s="79"/>
      <c r="C337" s="647"/>
      <c r="D337" s="80"/>
      <c r="E337" s="81"/>
      <c r="F337" s="82"/>
      <c r="G337" s="80"/>
      <c r="H337" s="114"/>
      <c r="I337" s="174"/>
      <c r="J337" s="171"/>
      <c r="K337" s="86"/>
      <c r="L337" s="115"/>
      <c r="M337" s="87"/>
      <c r="N337" s="88" t="e">
        <f>#REF!</f>
        <v>#REF!</v>
      </c>
      <c r="O337" s="68"/>
      <c r="P337" s="87" t="e">
        <f t="shared" si="87"/>
        <v>#REF!</v>
      </c>
    </row>
    <row r="338" spans="1:16" s="9" customFormat="1" ht="26.25" hidden="1" customHeight="1" x14ac:dyDescent="0.25">
      <c r="A338" s="78"/>
      <c r="B338" s="79"/>
      <c r="C338" s="647"/>
      <c r="D338" s="80"/>
      <c r="E338" s="81"/>
      <c r="F338" s="82"/>
      <c r="G338" s="80"/>
      <c r="H338" s="114"/>
      <c r="I338" s="174"/>
      <c r="J338" s="171"/>
      <c r="K338" s="86"/>
      <c r="L338" s="115"/>
      <c r="M338" s="87"/>
      <c r="N338" s="88" t="e">
        <f>#REF!</f>
        <v>#REF!</v>
      </c>
      <c r="O338" s="68"/>
      <c r="P338" s="87" t="e">
        <f t="shared" si="87"/>
        <v>#REF!</v>
      </c>
    </row>
    <row r="339" spans="1:16" s="56" customFormat="1" ht="26.25" hidden="1" customHeight="1" x14ac:dyDescent="0.25">
      <c r="A339" s="41"/>
      <c r="B339" s="96" t="s">
        <v>37</v>
      </c>
      <c r="C339" s="642"/>
      <c r="D339" s="222"/>
      <c r="E339" s="50"/>
      <c r="F339" s="46"/>
      <c r="G339" s="47"/>
      <c r="H339" s="258"/>
      <c r="I339" s="284"/>
      <c r="J339" s="285"/>
      <c r="K339" s="51"/>
      <c r="L339" s="221"/>
      <c r="M339" s="222"/>
      <c r="N339" s="222"/>
      <c r="O339" s="221"/>
      <c r="P339" s="222"/>
    </row>
    <row r="340" spans="1:16" s="121" customFormat="1" ht="26.25" hidden="1" customHeight="1" x14ac:dyDescent="0.25">
      <c r="A340" s="116"/>
      <c r="B340" s="117"/>
      <c r="C340" s="654"/>
      <c r="D340" s="73"/>
      <c r="E340" s="254"/>
      <c r="F340" s="170"/>
      <c r="G340" s="83"/>
      <c r="H340" s="134"/>
      <c r="I340" s="75"/>
      <c r="J340" s="76"/>
      <c r="K340" s="120"/>
      <c r="L340" s="91"/>
      <c r="M340" s="87">
        <f>K340</f>
        <v>0</v>
      </c>
      <c r="N340" s="88"/>
      <c r="O340" s="91"/>
      <c r="P340" s="87">
        <f>K340-N340</f>
        <v>0</v>
      </c>
    </row>
    <row r="341" spans="1:16" s="296" customFormat="1" ht="26.25" hidden="1" customHeight="1" x14ac:dyDescent="0.25">
      <c r="A341" s="286"/>
      <c r="B341" s="287" t="s">
        <v>39</v>
      </c>
      <c r="C341" s="660"/>
      <c r="D341" s="288"/>
      <c r="E341" s="415"/>
      <c r="F341" s="289"/>
      <c r="G341" s="290"/>
      <c r="H341" s="291"/>
      <c r="I341" s="292"/>
      <c r="J341" s="293"/>
      <c r="K341" s="294"/>
      <c r="L341" s="295"/>
      <c r="M341" s="288"/>
      <c r="N341" s="288"/>
      <c r="O341" s="295"/>
      <c r="P341" s="288"/>
    </row>
    <row r="342" spans="1:16" s="121" customFormat="1" ht="26.25" hidden="1" customHeight="1" x14ac:dyDescent="0.25">
      <c r="A342" s="116"/>
      <c r="B342" s="117"/>
      <c r="C342" s="654"/>
      <c r="D342" s="73"/>
      <c r="E342" s="254"/>
      <c r="F342" s="297"/>
      <c r="G342" s="83"/>
      <c r="H342" s="134"/>
      <c r="I342" s="298"/>
      <c r="J342" s="299"/>
      <c r="K342" s="120"/>
      <c r="L342" s="91"/>
      <c r="M342" s="87">
        <f>K342</f>
        <v>0</v>
      </c>
      <c r="N342" s="88"/>
      <c r="O342" s="91"/>
      <c r="P342" s="87">
        <f>K342-N342</f>
        <v>0</v>
      </c>
    </row>
    <row r="343" spans="1:16" s="56" customFormat="1" ht="15" hidden="1" x14ac:dyDescent="0.25">
      <c r="A343" s="41"/>
      <c r="B343" s="96" t="s">
        <v>38</v>
      </c>
      <c r="C343" s="642"/>
      <c r="D343" s="44"/>
      <c r="E343" s="45"/>
      <c r="F343" s="46"/>
      <c r="G343" s="47"/>
      <c r="H343" s="48"/>
      <c r="I343" s="49"/>
      <c r="J343" s="50"/>
      <c r="K343" s="51"/>
      <c r="L343" s="53"/>
      <c r="M343" s="54"/>
      <c r="N343" s="55"/>
      <c r="O343" s="53"/>
      <c r="P343" s="54"/>
    </row>
    <row r="344" spans="1:16" s="121" customFormat="1" ht="15" hidden="1" x14ac:dyDescent="0.25">
      <c r="A344" s="116"/>
      <c r="B344" s="117"/>
      <c r="C344" s="661"/>
      <c r="D344" s="73"/>
      <c r="E344" s="81"/>
      <c r="F344" s="170"/>
      <c r="G344" s="172"/>
      <c r="H344" s="260"/>
      <c r="I344" s="301"/>
      <c r="J344" s="302"/>
      <c r="K344" s="303"/>
      <c r="L344" s="304"/>
      <c r="M344" s="87">
        <f>K344</f>
        <v>0</v>
      </c>
      <c r="N344" s="88"/>
      <c r="O344" s="91"/>
      <c r="P344" s="87">
        <f>K344-N344</f>
        <v>0</v>
      </c>
    </row>
    <row r="345" spans="1:16" s="9" customFormat="1" ht="15" hidden="1" x14ac:dyDescent="0.25">
      <c r="A345" s="255"/>
      <c r="B345" s="256"/>
      <c r="C345" s="662"/>
      <c r="D345" s="254"/>
      <c r="E345" s="81"/>
      <c r="F345" s="170"/>
      <c r="G345" s="172"/>
      <c r="H345" s="173"/>
      <c r="I345" s="301"/>
      <c r="J345" s="302"/>
      <c r="K345" s="303"/>
      <c r="L345" s="304"/>
      <c r="M345" s="87">
        <f>K345</f>
        <v>0</v>
      </c>
      <c r="N345" s="88"/>
      <c r="O345" s="91"/>
      <c r="P345" s="87">
        <f>K345-N345</f>
        <v>0</v>
      </c>
    </row>
    <row r="346" spans="1:16" s="9" customFormat="1" ht="13.2" hidden="1" x14ac:dyDescent="0.25">
      <c r="A346" s="255"/>
      <c r="B346" s="256"/>
      <c r="C346" s="663"/>
      <c r="D346" s="254"/>
      <c r="E346" s="74"/>
      <c r="F346" s="170"/>
      <c r="G346" s="172"/>
      <c r="H346" s="173"/>
      <c r="I346" s="301"/>
      <c r="J346" s="302"/>
      <c r="K346" s="303"/>
      <c r="L346" s="306"/>
      <c r="M346" s="87">
        <f>K346</f>
        <v>0</v>
      </c>
      <c r="N346" s="88"/>
      <c r="O346" s="91"/>
      <c r="P346" s="87">
        <f>K346-N346</f>
        <v>0</v>
      </c>
    </row>
    <row r="347" spans="1:16" s="9" customFormat="1" ht="13.2" hidden="1" x14ac:dyDescent="0.25">
      <c r="A347" s="255"/>
      <c r="B347" s="256"/>
      <c r="C347" s="663"/>
      <c r="D347" s="254"/>
      <c r="E347" s="74"/>
      <c r="F347" s="170"/>
      <c r="G347" s="172"/>
      <c r="H347" s="173"/>
      <c r="I347" s="301"/>
      <c r="J347" s="302"/>
      <c r="K347" s="303"/>
      <c r="L347" s="307"/>
      <c r="M347" s="87">
        <f>K347</f>
        <v>0</v>
      </c>
      <c r="N347" s="88"/>
      <c r="O347" s="91"/>
      <c r="P347" s="87">
        <f>K347-N347</f>
        <v>0</v>
      </c>
    </row>
    <row r="348" spans="1:16" s="180" customFormat="1" ht="27.9" hidden="1" customHeight="1" x14ac:dyDescent="0.25">
      <c r="A348" s="262"/>
      <c r="B348" s="263"/>
      <c r="C348" s="656"/>
      <c r="D348" s="308"/>
      <c r="E348" s="309"/>
      <c r="F348" s="310"/>
      <c r="G348" s="311"/>
      <c r="H348" s="166"/>
      <c r="I348" s="301"/>
      <c r="J348" s="302"/>
      <c r="K348" s="303"/>
      <c r="L348" s="169"/>
      <c r="M348" s="312">
        <f>K348</f>
        <v>0</v>
      </c>
      <c r="N348" s="313"/>
      <c r="O348" s="304"/>
      <c r="P348" s="312">
        <f>K348-N348</f>
        <v>0</v>
      </c>
    </row>
    <row r="349" spans="1:16" s="154" customFormat="1" ht="22.65" hidden="1" customHeight="1" collapsed="1" x14ac:dyDescent="0.25">
      <c r="A349" s="143" t="s">
        <v>3</v>
      </c>
      <c r="B349" s="144"/>
      <c r="C349" s="150"/>
      <c r="D349" s="146"/>
      <c r="E349" s="146"/>
      <c r="F349" s="147"/>
      <c r="G349" s="147"/>
      <c r="H349" s="148"/>
      <c r="I349" s="149"/>
      <c r="J349" s="184"/>
      <c r="K349" s="150"/>
      <c r="L349" s="152"/>
      <c r="M349" s="153"/>
      <c r="N349" s="153"/>
      <c r="O349" s="152"/>
      <c r="P349" s="153"/>
    </row>
    <row r="350" spans="1:16" s="40" customFormat="1" ht="23.25" hidden="1" customHeight="1" x14ac:dyDescent="0.3">
      <c r="A350" s="35" t="s">
        <v>11</v>
      </c>
      <c r="B350" s="36"/>
      <c r="C350" s="638"/>
      <c r="D350" s="38"/>
      <c r="E350" s="38"/>
      <c r="F350" s="39"/>
      <c r="G350" s="39"/>
      <c r="H350" s="155"/>
      <c r="J350" s="156"/>
      <c r="K350" s="157"/>
      <c r="L350" s="155"/>
      <c r="M350" s="158"/>
      <c r="N350" s="158"/>
      <c r="O350" s="155"/>
      <c r="P350" s="158"/>
    </row>
    <row r="351" spans="1:16" s="9" customFormat="1" ht="16.5" hidden="1" customHeight="1" x14ac:dyDescent="0.25">
      <c r="A351" s="97"/>
      <c r="B351" s="96"/>
      <c r="C351" s="642"/>
      <c r="D351" s="98"/>
      <c r="E351" s="99"/>
      <c r="F351" s="100"/>
      <c r="G351" s="101"/>
      <c r="H351" s="102"/>
      <c r="I351" s="103"/>
      <c r="J351" s="105"/>
      <c r="K351" s="106"/>
      <c r="L351" s="53"/>
      <c r="M351" s="54"/>
      <c r="N351" s="55"/>
      <c r="O351" s="53"/>
      <c r="P351" s="54"/>
    </row>
    <row r="352" spans="1:16" s="121" customFormat="1" ht="30.75" hidden="1" customHeight="1" x14ac:dyDescent="0.25">
      <c r="A352" s="78"/>
      <c r="B352" s="79"/>
      <c r="C352" s="664"/>
      <c r="D352" s="60"/>
      <c r="E352" s="107"/>
      <c r="F352" s="82"/>
      <c r="G352" s="83"/>
      <c r="H352" s="134"/>
      <c r="I352" s="84"/>
      <c r="J352" s="85"/>
      <c r="K352" s="86"/>
      <c r="L352" s="135"/>
      <c r="M352" s="87">
        <f>K352</f>
        <v>0</v>
      </c>
      <c r="N352" s="88" t="e">
        <f>#REF!</f>
        <v>#REF!</v>
      </c>
      <c r="O352" s="135"/>
      <c r="P352" s="87" t="e">
        <f>K352-N352</f>
        <v>#REF!</v>
      </c>
    </row>
    <row r="353" spans="1:18" s="154" customFormat="1" ht="22.65" hidden="1" customHeight="1" x14ac:dyDescent="0.25">
      <c r="A353" s="143" t="s">
        <v>21</v>
      </c>
      <c r="B353" s="144"/>
      <c r="C353" s="150"/>
      <c r="D353" s="146"/>
      <c r="E353" s="146"/>
      <c r="F353" s="147"/>
      <c r="G353" s="147"/>
      <c r="H353" s="148"/>
      <c r="I353" s="149"/>
      <c r="J353" s="184"/>
      <c r="K353" s="150"/>
      <c r="L353" s="152"/>
      <c r="M353" s="153"/>
      <c r="N353" s="151"/>
      <c r="O353" s="152"/>
      <c r="P353" s="153"/>
    </row>
    <row r="354" spans="1:18" s="195" customFormat="1" ht="21" hidden="1" customHeight="1" x14ac:dyDescent="0.25">
      <c r="A354" s="185" t="s">
        <v>24</v>
      </c>
      <c r="B354" s="186"/>
      <c r="C354" s="192"/>
      <c r="D354" s="188"/>
      <c r="E354" s="188"/>
      <c r="F354" s="189"/>
      <c r="G354" s="189"/>
      <c r="H354" s="190"/>
      <c r="I354" s="191"/>
      <c r="J354" s="186"/>
      <c r="K354" s="192"/>
      <c r="L354" s="194"/>
      <c r="M354" s="192"/>
      <c r="N354" s="193"/>
      <c r="O354" s="194"/>
      <c r="P354" s="192"/>
    </row>
    <row r="355" spans="1:18" s="195" customFormat="1" ht="27.9" hidden="1" customHeight="1" x14ac:dyDescent="0.25">
      <c r="A355" s="314" t="s">
        <v>25</v>
      </c>
      <c r="B355" s="315"/>
      <c r="C355" s="321"/>
      <c r="D355" s="317"/>
      <c r="E355" s="317"/>
      <c r="F355" s="318"/>
      <c r="G355" s="318"/>
      <c r="H355" s="319"/>
      <c r="I355" s="320"/>
      <c r="J355" s="315"/>
      <c r="K355" s="321"/>
      <c r="L355" s="194"/>
      <c r="M355" s="322">
        <f t="shared" ref="M355:N355" si="88">M354+M280</f>
        <v>2214</v>
      </c>
      <c r="N355" s="322">
        <f t="shared" si="88"/>
        <v>729</v>
      </c>
      <c r="O355" s="194"/>
      <c r="P355" s="322">
        <f>P354+P280</f>
        <v>1485</v>
      </c>
    </row>
    <row r="356" spans="1:18" s="327" customFormat="1" ht="13.2" hidden="1" x14ac:dyDescent="0.25">
      <c r="A356" s="323"/>
      <c r="B356" s="323"/>
      <c r="C356" s="665"/>
      <c r="D356" s="325"/>
      <c r="E356" s="416"/>
      <c r="F356" s="325"/>
      <c r="G356" s="325"/>
      <c r="H356" s="326"/>
      <c r="J356" s="323"/>
      <c r="K356" s="323"/>
      <c r="L356" s="326"/>
      <c r="M356" s="323"/>
      <c r="N356" s="323"/>
      <c r="O356" s="326"/>
      <c r="P356" s="323"/>
    </row>
    <row r="357" spans="1:18" ht="22.65" hidden="1" customHeight="1" x14ac:dyDescent="0.25"/>
    <row r="358" spans="1:18" ht="22.65" hidden="1" customHeight="1" x14ac:dyDescent="0.25"/>
    <row r="360" spans="1:18" s="9" customFormat="1" ht="22.65" customHeight="1" x14ac:dyDescent="0.25">
      <c r="A360" s="2"/>
      <c r="B360" s="2"/>
      <c r="C360" s="8"/>
      <c r="D360" s="4"/>
      <c r="E360" s="4"/>
      <c r="F360" s="5"/>
      <c r="G360" s="5"/>
      <c r="H360" s="6"/>
      <c r="I360" s="7"/>
      <c r="J360" s="2"/>
      <c r="K360" s="8"/>
      <c r="L360" s="6"/>
      <c r="M360" s="8"/>
      <c r="N360" s="8"/>
      <c r="O360" s="6"/>
      <c r="P360" s="8"/>
      <c r="Q360" s="10"/>
    </row>
    <row r="361" spans="1:18" ht="22.65" customHeight="1" x14ac:dyDescent="0.25">
      <c r="R361" s="483" t="s">
        <v>93</v>
      </c>
    </row>
  </sheetData>
  <dataConsolidate/>
  <mergeCells count="37">
    <mergeCell ref="C176:C178"/>
    <mergeCell ref="C29:C32"/>
    <mergeCell ref="C109:C123"/>
    <mergeCell ref="C125:C126"/>
    <mergeCell ref="C238:C257"/>
    <mergeCell ref="C146:C150"/>
    <mergeCell ref="C152:C153"/>
    <mergeCell ref="C157:C158"/>
    <mergeCell ref="C161:C162"/>
    <mergeCell ref="C135:C136"/>
    <mergeCell ref="C138:C140"/>
    <mergeCell ref="C53:C61"/>
    <mergeCell ref="C51:C52"/>
    <mergeCell ref="C284:C285"/>
    <mergeCell ref="I199:K199"/>
    <mergeCell ref="C208:C209"/>
    <mergeCell ref="C210:C211"/>
    <mergeCell ref="C219:C221"/>
    <mergeCell ref="C204:C206"/>
    <mergeCell ref="C213:C215"/>
    <mergeCell ref="I62:K62"/>
    <mergeCell ref="C65:C68"/>
    <mergeCell ref="C85:C90"/>
    <mergeCell ref="C95:C97"/>
    <mergeCell ref="C99:C100"/>
    <mergeCell ref="C76:C78"/>
    <mergeCell ref="A7:L7"/>
    <mergeCell ref="M7:O8"/>
    <mergeCell ref="P7:P9"/>
    <mergeCell ref="A8:D9"/>
    <mergeCell ref="E8:E10"/>
    <mergeCell ref="I8:K8"/>
    <mergeCell ref="C21:C24"/>
    <mergeCell ref="C34:C35"/>
    <mergeCell ref="C36:C37"/>
    <mergeCell ref="C46:C47"/>
    <mergeCell ref="C48:C49"/>
  </mergeCells>
  <printOptions horizontalCentered="1"/>
  <pageMargins left="0.25" right="0.25" top="0.75" bottom="0.75" header="0.3" footer="0.3"/>
  <pageSetup paperSize="9" scale="81" fitToHeight="0" orientation="landscape" r:id="rId1"/>
  <headerFooter>
    <oddHeader xml:space="preserve">&amp;R  </oddHeader>
    <oddFooter>&amp;R&amp;P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46"/>
  <sheetViews>
    <sheetView tabSelected="1" view="pageBreakPreview" topLeftCell="A4" zoomScale="92" zoomScaleNormal="80" zoomScaleSheetLayoutView="92" workbookViewId="0">
      <pane xSplit="2" ySplit="7" topLeftCell="C44" activePane="bottomRight" state="frozen"/>
      <selection activeCell="A4" sqref="A4"/>
      <selection pane="topRight" activeCell="C4" sqref="C4"/>
      <selection pane="bottomLeft" activeCell="A13" sqref="A13"/>
      <selection pane="bottomRight" activeCell="J49" sqref="J49"/>
    </sheetView>
  </sheetViews>
  <sheetFormatPr defaultColWidth="9.109375" defaultRowHeight="22.65" customHeight="1" x14ac:dyDescent="0.25"/>
  <cols>
    <col min="1" max="1" width="1.6640625" style="2" customWidth="1"/>
    <col min="2" max="2" width="3" style="2" customWidth="1"/>
    <col min="3" max="3" width="17.5546875" style="8" customWidth="1"/>
    <col min="4" max="4" width="12.44140625" style="4" customWidth="1"/>
    <col min="5" max="5" width="14.109375" style="4" customWidth="1"/>
    <col min="6" max="6" width="14.33203125" style="5" customWidth="1"/>
    <col min="7" max="7" width="10.109375" style="5" customWidth="1"/>
    <col min="8" max="8" width="0.6640625" style="6" customWidth="1" collapsed="1"/>
    <col min="9" max="9" width="12" style="7" customWidth="1"/>
    <col min="10" max="10" width="31.33203125" style="2" customWidth="1"/>
    <col min="11" max="11" width="15.33203125" style="8" customWidth="1"/>
    <col min="12" max="12" width="1.109375" style="6" customWidth="1"/>
    <col min="13" max="13" width="14.88671875" style="8" customWidth="1"/>
    <col min="14" max="14" width="14" style="8" customWidth="1"/>
    <col min="15" max="15" width="1.33203125" style="6" customWidth="1"/>
    <col min="16" max="16" width="14.109375" style="8" customWidth="1"/>
    <col min="17" max="17" width="10.33203125" style="10" bestFit="1" customWidth="1"/>
    <col min="18" max="16384" width="9.109375" style="10"/>
  </cols>
  <sheetData>
    <row r="1" spans="1:17" ht="13.2" x14ac:dyDescent="0.25">
      <c r="M1" s="9"/>
      <c r="N1" s="9"/>
      <c r="P1" s="9"/>
    </row>
    <row r="2" spans="1:17" ht="13.2" x14ac:dyDescent="0.25">
      <c r="M2" s="9"/>
      <c r="N2" s="9"/>
      <c r="P2" s="9"/>
    </row>
    <row r="3" spans="1:17" ht="13.2" x14ac:dyDescent="0.25">
      <c r="M3" s="9"/>
      <c r="N3" s="9"/>
      <c r="P3" s="9"/>
    </row>
    <row r="4" spans="1:17" s="17" customFormat="1" ht="29.25" customHeight="1" x14ac:dyDescent="0.4">
      <c r="A4" s="11"/>
      <c r="B4" s="11"/>
      <c r="C4" s="635"/>
      <c r="D4" s="13"/>
      <c r="E4" s="411"/>
      <c r="F4" s="14"/>
      <c r="G4" s="14"/>
      <c r="H4" s="15"/>
      <c r="I4" s="16" t="s">
        <v>141</v>
      </c>
      <c r="J4" s="16"/>
      <c r="K4" s="16"/>
      <c r="L4" s="15"/>
      <c r="M4" s="16"/>
      <c r="N4" s="16"/>
      <c r="O4" s="15"/>
      <c r="P4" s="16"/>
    </row>
    <row r="5" spans="1:17" s="24" customFormat="1" ht="20.25" customHeight="1" x14ac:dyDescent="0.35">
      <c r="A5" s="18"/>
      <c r="B5" s="18"/>
      <c r="C5" s="636"/>
      <c r="D5" s="20"/>
      <c r="E5" s="412"/>
      <c r="F5" s="21"/>
      <c r="G5" s="21"/>
      <c r="H5" s="22"/>
      <c r="I5" s="23" t="s">
        <v>993</v>
      </c>
      <c r="J5" s="23"/>
      <c r="K5" s="23"/>
      <c r="L5" s="22"/>
      <c r="M5" s="23"/>
      <c r="N5" s="23"/>
      <c r="O5" s="22"/>
      <c r="P5" s="23"/>
    </row>
    <row r="6" spans="1:17" s="9" customFormat="1" ht="12" customHeight="1" x14ac:dyDescent="0.25">
      <c r="A6" s="8"/>
      <c r="B6" s="8"/>
      <c r="C6" s="637"/>
      <c r="D6" s="359"/>
      <c r="E6" s="413"/>
      <c r="F6" s="4"/>
      <c r="G6" s="4"/>
      <c r="H6" s="25"/>
      <c r="I6" s="26"/>
      <c r="J6" s="26"/>
      <c r="K6" s="26"/>
      <c r="L6" s="25"/>
      <c r="M6" s="26"/>
      <c r="N6" s="26"/>
      <c r="O6" s="25"/>
      <c r="P6" s="26"/>
    </row>
    <row r="7" spans="1:17" s="9" customFormat="1" ht="22.65" customHeight="1" x14ac:dyDescent="0.25">
      <c r="A7" s="767" t="s">
        <v>18</v>
      </c>
      <c r="B7" s="767"/>
      <c r="C7" s="767"/>
      <c r="D7" s="767"/>
      <c r="E7" s="767"/>
      <c r="F7" s="767"/>
      <c r="G7" s="767"/>
      <c r="H7" s="767"/>
      <c r="I7" s="767"/>
      <c r="J7" s="767"/>
      <c r="K7" s="767"/>
      <c r="L7" s="767"/>
      <c r="M7" s="768" t="s">
        <v>42</v>
      </c>
      <c r="N7" s="769"/>
      <c r="O7" s="769"/>
      <c r="P7" s="772" t="s">
        <v>20</v>
      </c>
    </row>
    <row r="8" spans="1:17" s="9" customFormat="1" ht="15" x14ac:dyDescent="0.25">
      <c r="A8" s="775" t="s">
        <v>13</v>
      </c>
      <c r="B8" s="775"/>
      <c r="C8" s="775"/>
      <c r="D8" s="776"/>
      <c r="E8" s="779" t="s">
        <v>48</v>
      </c>
      <c r="F8" s="678"/>
      <c r="G8" s="679"/>
      <c r="H8" s="6"/>
      <c r="I8" s="786" t="s">
        <v>14</v>
      </c>
      <c r="J8" s="787"/>
      <c r="K8" s="787"/>
      <c r="L8" s="6"/>
      <c r="M8" s="770"/>
      <c r="N8" s="771"/>
      <c r="O8" s="771"/>
      <c r="P8" s="773"/>
    </row>
    <row r="9" spans="1:17" s="9" customFormat="1" ht="15.75" customHeight="1" x14ac:dyDescent="0.25">
      <c r="A9" s="777"/>
      <c r="B9" s="777"/>
      <c r="C9" s="777"/>
      <c r="D9" s="778"/>
      <c r="E9" s="780"/>
      <c r="F9" s="680"/>
      <c r="G9" s="681"/>
      <c r="H9" s="6"/>
      <c r="I9" s="423"/>
      <c r="J9" s="27"/>
      <c r="K9" s="27"/>
      <c r="L9" s="6"/>
      <c r="M9" s="425" t="s">
        <v>16</v>
      </c>
      <c r="N9" s="425" t="s">
        <v>17</v>
      </c>
      <c r="O9" s="6"/>
      <c r="P9" s="774"/>
    </row>
    <row r="10" spans="1:17" s="34" customFormat="1" ht="30.45" customHeight="1" x14ac:dyDescent="0.2">
      <c r="A10" s="360"/>
      <c r="B10" s="28"/>
      <c r="C10" s="32" t="s">
        <v>12</v>
      </c>
      <c r="D10" s="29" t="s">
        <v>51</v>
      </c>
      <c r="E10" s="781"/>
      <c r="F10" s="29" t="s">
        <v>469</v>
      </c>
      <c r="G10" s="29" t="s">
        <v>10</v>
      </c>
      <c r="H10" s="686"/>
      <c r="I10" s="31" t="s">
        <v>9</v>
      </c>
      <c r="J10" s="32" t="s">
        <v>0</v>
      </c>
      <c r="K10" s="32" t="s">
        <v>349</v>
      </c>
      <c r="L10" s="687"/>
      <c r="M10" s="33" t="s">
        <v>15</v>
      </c>
      <c r="N10" s="33" t="s">
        <v>15</v>
      </c>
      <c r="O10" s="686"/>
      <c r="P10" s="33" t="s">
        <v>15</v>
      </c>
    </row>
    <row r="11" spans="1:17" s="40" customFormat="1" ht="30" customHeight="1" x14ac:dyDescent="0.3">
      <c r="A11" s="199" t="s">
        <v>6</v>
      </c>
      <c r="B11" s="200"/>
      <c r="C11" s="645"/>
      <c r="D11" s="407"/>
      <c r="E11" s="407"/>
      <c r="F11" s="408"/>
      <c r="G11" s="408"/>
      <c r="H11" s="155"/>
      <c r="J11" s="409"/>
      <c r="K11" s="204"/>
      <c r="L11" s="155"/>
      <c r="M11" s="159"/>
      <c r="N11" s="159"/>
      <c r="O11" s="155"/>
      <c r="P11" s="159"/>
    </row>
    <row r="12" spans="1:17" s="56" customFormat="1" ht="15" x14ac:dyDescent="0.25">
      <c r="A12" s="361"/>
      <c r="B12" s="334" t="s">
        <v>44</v>
      </c>
      <c r="C12" s="639"/>
      <c r="D12" s="44"/>
      <c r="E12" s="45"/>
      <c r="F12" s="569">
        <f>SUM(F13:F19)</f>
        <v>520188.67</v>
      </c>
      <c r="G12" s="47"/>
      <c r="H12" s="48"/>
      <c r="I12" s="49"/>
      <c r="J12" s="50"/>
      <c r="K12" s="51"/>
      <c r="L12" s="356"/>
      <c r="M12" s="54"/>
      <c r="N12" s="55"/>
      <c r="O12" s="53"/>
      <c r="P12" s="54"/>
    </row>
    <row r="13" spans="1:17" s="9" customFormat="1" ht="27.9" customHeight="1" x14ac:dyDescent="0.25">
      <c r="A13" s="78"/>
      <c r="B13" s="79"/>
      <c r="C13" s="86"/>
      <c r="D13" s="342" t="s">
        <v>54</v>
      </c>
      <c r="E13" s="365" t="s">
        <v>50</v>
      </c>
      <c r="F13" s="565">
        <v>292781.5</v>
      </c>
      <c r="G13" s="108">
        <v>43297</v>
      </c>
      <c r="H13" s="64"/>
      <c r="I13" s="405" t="s">
        <v>56</v>
      </c>
      <c r="J13" s="450" t="s">
        <v>59</v>
      </c>
      <c r="K13" s="419">
        <v>2</v>
      </c>
      <c r="L13" s="430"/>
      <c r="M13" s="688">
        <v>1</v>
      </c>
      <c r="N13" s="689"/>
      <c r="O13" s="357"/>
      <c r="P13" s="434">
        <f t="shared" ref="P13" si="0">M13-N13</f>
        <v>1</v>
      </c>
      <c r="Q13" s="712">
        <f>M13-P13</f>
        <v>0</v>
      </c>
    </row>
    <row r="14" spans="1:17" s="9" customFormat="1" ht="27.9" customHeight="1" x14ac:dyDescent="0.25">
      <c r="A14" s="78"/>
      <c r="B14" s="79"/>
      <c r="C14" s="86"/>
      <c r="D14" s="351"/>
      <c r="E14" s="341" t="s">
        <v>40</v>
      </c>
      <c r="F14" s="566">
        <v>138535.81</v>
      </c>
      <c r="G14" s="83">
        <v>44193</v>
      </c>
      <c r="H14" s="429"/>
      <c r="I14" s="468" t="s">
        <v>73</v>
      </c>
      <c r="J14" s="451" t="s">
        <v>75</v>
      </c>
      <c r="K14" s="431">
        <v>1</v>
      </c>
      <c r="L14" s="430"/>
      <c r="M14" s="692">
        <f t="shared" ref="M14:M18" si="1">K14</f>
        <v>1</v>
      </c>
      <c r="N14" s="693"/>
      <c r="O14" s="332"/>
      <c r="P14" s="435">
        <f t="shared" ref="P14:P16" si="2">K14-N14</f>
        <v>1</v>
      </c>
      <c r="Q14" s="712">
        <f t="shared" ref="Q14:Q90" si="3">M14-P14</f>
        <v>0</v>
      </c>
    </row>
    <row r="15" spans="1:17" s="9" customFormat="1" ht="27.9" customHeight="1" x14ac:dyDescent="0.25">
      <c r="A15" s="78"/>
      <c r="B15" s="79"/>
      <c r="C15" s="86"/>
      <c r="D15" s="351"/>
      <c r="E15" s="341" t="s">
        <v>40</v>
      </c>
      <c r="F15" s="566">
        <v>53985.54</v>
      </c>
      <c r="G15" s="83">
        <v>44193</v>
      </c>
      <c r="H15" s="429"/>
      <c r="I15" s="468" t="s">
        <v>74</v>
      </c>
      <c r="J15" s="335" t="s">
        <v>76</v>
      </c>
      <c r="K15" s="431">
        <v>1</v>
      </c>
      <c r="L15" s="430"/>
      <c r="M15" s="692">
        <f t="shared" si="1"/>
        <v>1</v>
      </c>
      <c r="N15" s="693"/>
      <c r="O15" s="332"/>
      <c r="P15" s="435">
        <f t="shared" si="2"/>
        <v>1</v>
      </c>
      <c r="Q15" s="712">
        <f t="shared" si="3"/>
        <v>0</v>
      </c>
    </row>
    <row r="16" spans="1:17" s="9" customFormat="1" ht="37.5" customHeight="1" x14ac:dyDescent="0.25">
      <c r="A16" s="78"/>
      <c r="B16" s="79"/>
      <c r="C16" s="471" t="s">
        <v>763</v>
      </c>
      <c r="D16" s="350">
        <v>45361</v>
      </c>
      <c r="E16" s="341" t="s">
        <v>50</v>
      </c>
      <c r="F16" s="567"/>
      <c r="G16" s="83">
        <v>45259</v>
      </c>
      <c r="H16" s="429"/>
      <c r="I16" s="468" t="s">
        <v>591</v>
      </c>
      <c r="J16" s="336" t="s">
        <v>592</v>
      </c>
      <c r="K16" s="667">
        <v>2</v>
      </c>
      <c r="L16" s="430"/>
      <c r="M16" s="692">
        <f t="shared" si="1"/>
        <v>2</v>
      </c>
      <c r="N16" s="693"/>
      <c r="O16" s="332"/>
      <c r="P16" s="435">
        <f t="shared" si="2"/>
        <v>2</v>
      </c>
      <c r="Q16" s="712">
        <f t="shared" si="3"/>
        <v>0</v>
      </c>
    </row>
    <row r="17" spans="1:17" s="9" customFormat="1" ht="36.75" customHeight="1" x14ac:dyDescent="0.25">
      <c r="A17" s="78"/>
      <c r="B17" s="79"/>
      <c r="C17" s="547" t="s">
        <v>764</v>
      </c>
      <c r="D17" s="455">
        <v>45285</v>
      </c>
      <c r="E17" s="428" t="s">
        <v>50</v>
      </c>
      <c r="F17" s="456"/>
      <c r="G17" s="83">
        <v>45272</v>
      </c>
      <c r="H17" s="457"/>
      <c r="I17" s="468" t="s">
        <v>652</v>
      </c>
      <c r="J17" s="335" t="s">
        <v>315</v>
      </c>
      <c r="K17" s="668">
        <v>12</v>
      </c>
      <c r="L17" s="584"/>
      <c r="M17" s="87">
        <f t="shared" si="1"/>
        <v>12</v>
      </c>
      <c r="N17" s="695"/>
      <c r="O17" s="438"/>
      <c r="P17" s="137">
        <f t="shared" ref="P17:P19" si="4">M17-N17</f>
        <v>12</v>
      </c>
      <c r="Q17" s="712">
        <f t="shared" si="3"/>
        <v>0</v>
      </c>
    </row>
    <row r="18" spans="1:17" s="9" customFormat="1" ht="36.75" customHeight="1" x14ac:dyDescent="0.25">
      <c r="A18" s="78"/>
      <c r="B18" s="79"/>
      <c r="C18" s="514" t="s">
        <v>880</v>
      </c>
      <c r="D18" s="337">
        <v>45398</v>
      </c>
      <c r="E18" s="428" t="s">
        <v>60</v>
      </c>
      <c r="F18" s="520"/>
      <c r="G18" s="366">
        <v>45379</v>
      </c>
      <c r="H18" s="457"/>
      <c r="I18" s="468" t="s">
        <v>878</v>
      </c>
      <c r="J18" s="335" t="s">
        <v>879</v>
      </c>
      <c r="K18" s="668">
        <v>2</v>
      </c>
      <c r="L18" s="584"/>
      <c r="M18" s="87">
        <f t="shared" si="1"/>
        <v>2</v>
      </c>
      <c r="N18" s="695"/>
      <c r="O18" s="438"/>
      <c r="P18" s="137">
        <f t="shared" si="4"/>
        <v>2</v>
      </c>
      <c r="Q18" s="712"/>
    </row>
    <row r="19" spans="1:17" s="9" customFormat="1" ht="39.75" customHeight="1" x14ac:dyDescent="0.25">
      <c r="A19" s="78"/>
      <c r="B19" s="379"/>
      <c r="C19" s="446"/>
      <c r="D19" s="484" t="s">
        <v>90</v>
      </c>
      <c r="E19" s="428" t="s">
        <v>50</v>
      </c>
      <c r="F19" s="568">
        <v>34885.82</v>
      </c>
      <c r="G19" s="366"/>
      <c r="H19" s="90"/>
      <c r="I19" s="669" t="s">
        <v>72</v>
      </c>
      <c r="J19" s="670" t="s">
        <v>70</v>
      </c>
      <c r="K19" s="671">
        <v>2</v>
      </c>
      <c r="L19" s="666"/>
      <c r="M19" s="690">
        <v>1</v>
      </c>
      <c r="N19" s="691"/>
      <c r="O19" s="666"/>
      <c r="P19" s="137">
        <f t="shared" si="4"/>
        <v>1</v>
      </c>
      <c r="Q19" s="712">
        <f t="shared" si="3"/>
        <v>0</v>
      </c>
    </row>
    <row r="20" spans="1:17" s="1" customFormat="1" ht="16.5" customHeight="1" x14ac:dyDescent="0.25">
      <c r="A20" s="474"/>
      <c r="B20" s="330" t="s">
        <v>821</v>
      </c>
      <c r="C20" s="641"/>
      <c r="D20" s="486"/>
      <c r="E20" s="475"/>
      <c r="F20" s="476"/>
      <c r="G20" s="477"/>
      <c r="H20" s="463"/>
      <c r="I20" s="478"/>
      <c r="J20" s="479"/>
      <c r="K20" s="480"/>
      <c r="L20" s="464"/>
      <c r="M20" s="54"/>
      <c r="N20" s="55"/>
      <c r="O20" s="464"/>
      <c r="P20" s="465"/>
      <c r="Q20" s="712">
        <f t="shared" si="3"/>
        <v>0</v>
      </c>
    </row>
    <row r="21" spans="1:17" s="56" customFormat="1" ht="26.4" x14ac:dyDescent="0.25">
      <c r="A21" s="41"/>
      <c r="B21" s="330"/>
      <c r="C21" s="793" t="s">
        <v>830</v>
      </c>
      <c r="D21" s="351">
        <v>45463</v>
      </c>
      <c r="E21" s="341" t="s">
        <v>60</v>
      </c>
      <c r="F21" s="82"/>
      <c r="G21" s="83">
        <v>45357</v>
      </c>
      <c r="H21" s="48"/>
      <c r="I21" s="468" t="s">
        <v>822</v>
      </c>
      <c r="J21" s="335" t="s">
        <v>823</v>
      </c>
      <c r="K21" s="431">
        <v>64</v>
      </c>
      <c r="L21" s="53"/>
      <c r="M21" s="688">
        <f>K21</f>
        <v>64</v>
      </c>
      <c r="N21" s="689"/>
      <c r="O21" s="357"/>
      <c r="P21" s="434">
        <f t="shared" ref="P21" si="5">M21-N21</f>
        <v>64</v>
      </c>
      <c r="Q21" s="712">
        <f t="shared" si="3"/>
        <v>0</v>
      </c>
    </row>
    <row r="22" spans="1:17" s="56" customFormat="1" ht="26.4" x14ac:dyDescent="0.25">
      <c r="A22" s="41"/>
      <c r="B22" s="330"/>
      <c r="C22" s="788"/>
      <c r="D22" s="351">
        <v>45463</v>
      </c>
      <c r="E22" s="341" t="s">
        <v>60</v>
      </c>
      <c r="F22" s="82"/>
      <c r="G22" s="83">
        <v>45357</v>
      </c>
      <c r="H22" s="48"/>
      <c r="I22" s="468" t="s">
        <v>824</v>
      </c>
      <c r="J22" s="335" t="s">
        <v>825</v>
      </c>
      <c r="K22" s="431">
        <v>64</v>
      </c>
      <c r="L22" s="53"/>
      <c r="M22" s="692">
        <f t="shared" ref="M22:M23" si="6">K22</f>
        <v>64</v>
      </c>
      <c r="N22" s="693"/>
      <c r="O22" s="332"/>
      <c r="P22" s="435">
        <f t="shared" ref="P22:P23" si="7">K22-N22</f>
        <v>64</v>
      </c>
      <c r="Q22" s="712"/>
    </row>
    <row r="23" spans="1:17" s="56" customFormat="1" ht="27" customHeight="1" x14ac:dyDescent="0.25">
      <c r="A23" s="41"/>
      <c r="B23" s="330"/>
      <c r="C23" s="789"/>
      <c r="D23" s="351">
        <v>45463</v>
      </c>
      <c r="E23" s="341" t="s">
        <v>60</v>
      </c>
      <c r="F23" s="82"/>
      <c r="G23" s="83">
        <v>45357</v>
      </c>
      <c r="H23" s="48"/>
      <c r="I23" s="468" t="s">
        <v>828</v>
      </c>
      <c r="J23" s="335" t="s">
        <v>829</v>
      </c>
      <c r="K23" s="431">
        <v>560</v>
      </c>
      <c r="L23" s="53"/>
      <c r="M23" s="692">
        <f t="shared" si="6"/>
        <v>560</v>
      </c>
      <c r="N23" s="693"/>
      <c r="O23" s="332"/>
      <c r="P23" s="435">
        <f t="shared" si="7"/>
        <v>560</v>
      </c>
      <c r="Q23" s="712"/>
    </row>
    <row r="24" spans="1:17" s="56" customFormat="1" ht="27" customHeight="1" x14ac:dyDescent="0.25">
      <c r="A24" s="41"/>
      <c r="B24" s="330"/>
      <c r="C24" s="839" t="s">
        <v>1006</v>
      </c>
      <c r="D24" s="708">
        <v>45524</v>
      </c>
      <c r="E24" s="341" t="s">
        <v>60</v>
      </c>
      <c r="F24" s="764"/>
      <c r="G24" s="257">
        <v>45408</v>
      </c>
      <c r="H24" s="48"/>
      <c r="I24" s="468" t="s">
        <v>1002</v>
      </c>
      <c r="J24" s="335" t="s">
        <v>823</v>
      </c>
      <c r="K24" s="431">
        <v>64</v>
      </c>
      <c r="L24" s="53"/>
      <c r="M24" s="692">
        <f t="shared" ref="M24:M27" si="8">K24</f>
        <v>64</v>
      </c>
      <c r="N24" s="693"/>
      <c r="O24" s="332"/>
      <c r="P24" s="435">
        <f t="shared" ref="P24:P27" si="9">K24-N24</f>
        <v>64</v>
      </c>
      <c r="Q24" s="712"/>
    </row>
    <row r="25" spans="1:17" s="56" customFormat="1" ht="27" customHeight="1" x14ac:dyDescent="0.25">
      <c r="A25" s="41"/>
      <c r="B25" s="330"/>
      <c r="C25" s="840"/>
      <c r="D25" s="708">
        <v>45524</v>
      </c>
      <c r="E25" s="341" t="s">
        <v>60</v>
      </c>
      <c r="F25" s="764"/>
      <c r="G25" s="257">
        <v>45408</v>
      </c>
      <c r="H25" s="48"/>
      <c r="I25" s="468" t="s">
        <v>1003</v>
      </c>
      <c r="J25" s="335" t="s">
        <v>825</v>
      </c>
      <c r="K25" s="431">
        <v>64</v>
      </c>
      <c r="L25" s="53"/>
      <c r="M25" s="692">
        <f t="shared" si="8"/>
        <v>64</v>
      </c>
      <c r="N25" s="693"/>
      <c r="O25" s="332"/>
      <c r="P25" s="435">
        <f t="shared" si="9"/>
        <v>64</v>
      </c>
      <c r="Q25" s="712"/>
    </row>
    <row r="26" spans="1:17" s="56" customFormat="1" ht="27" customHeight="1" x14ac:dyDescent="0.25">
      <c r="A26" s="41"/>
      <c r="B26" s="330"/>
      <c r="C26" s="840"/>
      <c r="D26" s="708">
        <v>45524</v>
      </c>
      <c r="E26" s="341" t="s">
        <v>60</v>
      </c>
      <c r="F26" s="764"/>
      <c r="G26" s="257">
        <v>45408</v>
      </c>
      <c r="H26" s="48"/>
      <c r="I26" s="468" t="s">
        <v>1004</v>
      </c>
      <c r="J26" s="335" t="s">
        <v>827</v>
      </c>
      <c r="K26" s="431">
        <v>560</v>
      </c>
      <c r="L26" s="53"/>
      <c r="M26" s="692">
        <f t="shared" si="8"/>
        <v>560</v>
      </c>
      <c r="N26" s="693"/>
      <c r="O26" s="332"/>
      <c r="P26" s="435">
        <f t="shared" si="9"/>
        <v>560</v>
      </c>
      <c r="Q26" s="712"/>
    </row>
    <row r="27" spans="1:17" s="56" customFormat="1" ht="27" customHeight="1" x14ac:dyDescent="0.25">
      <c r="A27" s="41"/>
      <c r="B27" s="330"/>
      <c r="C27" s="841"/>
      <c r="D27" s="708">
        <v>45524</v>
      </c>
      <c r="E27" s="341" t="s">
        <v>60</v>
      </c>
      <c r="F27" s="764"/>
      <c r="G27" s="257">
        <v>45408</v>
      </c>
      <c r="H27" s="48"/>
      <c r="I27" s="468" t="s">
        <v>1005</v>
      </c>
      <c r="J27" s="335" t="s">
        <v>829</v>
      </c>
      <c r="K27" s="431">
        <v>560</v>
      </c>
      <c r="L27" s="53"/>
      <c r="M27" s="692">
        <f t="shared" si="8"/>
        <v>560</v>
      </c>
      <c r="N27" s="693"/>
      <c r="O27" s="332"/>
      <c r="P27" s="435">
        <f t="shared" si="9"/>
        <v>560</v>
      </c>
      <c r="Q27" s="712"/>
    </row>
    <row r="28" spans="1:17" s="1" customFormat="1" ht="16.5" customHeight="1" x14ac:dyDescent="0.25">
      <c r="A28" s="474"/>
      <c r="B28" s="462" t="s">
        <v>79</v>
      </c>
      <c r="C28" s="641"/>
      <c r="D28" s="486"/>
      <c r="E28" s="475"/>
      <c r="F28" s="476"/>
      <c r="G28" s="477"/>
      <c r="H28" s="463"/>
      <c r="I28" s="478"/>
      <c r="J28" s="479"/>
      <c r="K28" s="480"/>
      <c r="L28" s="464"/>
      <c r="M28" s="54"/>
      <c r="N28" s="55"/>
      <c r="O28" s="464"/>
      <c r="P28" s="465"/>
      <c r="Q28" s="712">
        <f t="shared" si="3"/>
        <v>0</v>
      </c>
    </row>
    <row r="29" spans="1:17" s="9" customFormat="1" ht="41.25" customHeight="1" x14ac:dyDescent="0.25">
      <c r="A29" s="78"/>
      <c r="B29" s="79"/>
      <c r="C29" s="490" t="s">
        <v>220</v>
      </c>
      <c r="D29" s="351">
        <v>45117</v>
      </c>
      <c r="E29" s="341" t="s">
        <v>50</v>
      </c>
      <c r="F29" s="82"/>
      <c r="G29" s="83">
        <v>45000</v>
      </c>
      <c r="H29" s="429"/>
      <c r="I29" s="468" t="s">
        <v>222</v>
      </c>
      <c r="J29" s="335" t="s">
        <v>221</v>
      </c>
      <c r="K29" s="343">
        <v>1</v>
      </c>
      <c r="L29" s="430"/>
      <c r="M29" s="631">
        <f>K29</f>
        <v>1</v>
      </c>
      <c r="N29" s="376"/>
      <c r="O29" s="332"/>
      <c r="P29" s="435">
        <f t="shared" ref="P29" si="10">M29-N29</f>
        <v>1</v>
      </c>
      <c r="Q29" s="712">
        <f t="shared" si="3"/>
        <v>0</v>
      </c>
    </row>
    <row r="30" spans="1:17" s="56" customFormat="1" ht="18" customHeight="1" x14ac:dyDescent="0.25">
      <c r="A30" s="41"/>
      <c r="B30" s="330" t="s">
        <v>846</v>
      </c>
      <c r="C30" s="642"/>
      <c r="D30" s="44"/>
      <c r="E30" s="45"/>
      <c r="F30" s="46"/>
      <c r="G30" s="47"/>
      <c r="H30" s="48"/>
      <c r="I30" s="49"/>
      <c r="J30" s="50"/>
      <c r="K30" s="51"/>
      <c r="L30" s="53"/>
      <c r="M30" s="49"/>
      <c r="N30" s="55"/>
      <c r="O30" s="53"/>
      <c r="P30" s="54"/>
      <c r="Q30" s="712">
        <f t="shared" si="3"/>
        <v>0</v>
      </c>
    </row>
    <row r="31" spans="1:17" s="9" customFormat="1" ht="51" customHeight="1" x14ac:dyDescent="0.25">
      <c r="A31" s="78"/>
      <c r="B31" s="79"/>
      <c r="C31" s="490" t="s">
        <v>847</v>
      </c>
      <c r="D31" s="351">
        <v>45422</v>
      </c>
      <c r="E31" s="341" t="s">
        <v>60</v>
      </c>
      <c r="F31" s="82"/>
      <c r="G31" s="83">
        <v>45362</v>
      </c>
      <c r="H31" s="429"/>
      <c r="I31" s="468" t="s">
        <v>848</v>
      </c>
      <c r="J31" s="335" t="s">
        <v>849</v>
      </c>
      <c r="K31" s="431">
        <v>8</v>
      </c>
      <c r="L31" s="430"/>
      <c r="M31" s="410">
        <f>K31</f>
        <v>8</v>
      </c>
      <c r="N31" s="376"/>
      <c r="O31" s="332"/>
      <c r="P31" s="435">
        <f t="shared" ref="P31:P35" si="11">M31-N31</f>
        <v>8</v>
      </c>
      <c r="Q31" s="712"/>
    </row>
    <row r="32" spans="1:17" s="9" customFormat="1" ht="26.4" x14ac:dyDescent="0.25">
      <c r="A32" s="78"/>
      <c r="B32" s="79"/>
      <c r="C32" s="799" t="s">
        <v>989</v>
      </c>
      <c r="D32" s="351">
        <v>45489</v>
      </c>
      <c r="E32" s="341" t="s">
        <v>60</v>
      </c>
      <c r="F32" s="82"/>
      <c r="G32" s="83">
        <v>45405</v>
      </c>
      <c r="H32" s="429"/>
      <c r="I32" s="468" t="s">
        <v>981</v>
      </c>
      <c r="J32" s="335" t="s">
        <v>982</v>
      </c>
      <c r="K32" s="431">
        <v>6</v>
      </c>
      <c r="L32" s="430"/>
      <c r="M32" s="410">
        <f t="shared" ref="M32:M35" si="12">K32</f>
        <v>6</v>
      </c>
      <c r="N32" s="376"/>
      <c r="O32" s="332"/>
      <c r="P32" s="435">
        <f t="shared" si="11"/>
        <v>6</v>
      </c>
      <c r="Q32" s="712"/>
    </row>
    <row r="33" spans="1:17" s="9" customFormat="1" ht="26.4" x14ac:dyDescent="0.25">
      <c r="A33" s="78"/>
      <c r="B33" s="79"/>
      <c r="C33" s="788"/>
      <c r="D33" s="351">
        <v>45489</v>
      </c>
      <c r="E33" s="341" t="s">
        <v>60</v>
      </c>
      <c r="F33" s="82"/>
      <c r="G33" s="83">
        <v>45405</v>
      </c>
      <c r="H33" s="429"/>
      <c r="I33" s="468" t="s">
        <v>983</v>
      </c>
      <c r="J33" s="335" t="s">
        <v>984</v>
      </c>
      <c r="K33" s="431">
        <v>2</v>
      </c>
      <c r="L33" s="430"/>
      <c r="M33" s="410">
        <f t="shared" si="12"/>
        <v>2</v>
      </c>
      <c r="N33" s="376"/>
      <c r="O33" s="332"/>
      <c r="P33" s="435">
        <f t="shared" si="11"/>
        <v>2</v>
      </c>
      <c r="Q33" s="712"/>
    </row>
    <row r="34" spans="1:17" s="9" customFormat="1" ht="26.4" x14ac:dyDescent="0.25">
      <c r="A34" s="78"/>
      <c r="B34" s="79"/>
      <c r="C34" s="788"/>
      <c r="D34" s="351">
        <v>45489</v>
      </c>
      <c r="E34" s="341" t="s">
        <v>60</v>
      </c>
      <c r="F34" s="82"/>
      <c r="G34" s="83">
        <v>45405</v>
      </c>
      <c r="H34" s="429"/>
      <c r="I34" s="468" t="s">
        <v>985</v>
      </c>
      <c r="J34" s="335" t="s">
        <v>986</v>
      </c>
      <c r="K34" s="431">
        <v>10</v>
      </c>
      <c r="L34" s="430"/>
      <c r="M34" s="410">
        <f t="shared" si="12"/>
        <v>10</v>
      </c>
      <c r="N34" s="376"/>
      <c r="O34" s="332"/>
      <c r="P34" s="435">
        <f t="shared" si="11"/>
        <v>10</v>
      </c>
      <c r="Q34" s="712"/>
    </row>
    <row r="35" spans="1:17" s="9" customFormat="1" ht="52.8" x14ac:dyDescent="0.25">
      <c r="A35" s="78"/>
      <c r="B35" s="79"/>
      <c r="C35" s="789"/>
      <c r="D35" s="351">
        <v>45489</v>
      </c>
      <c r="E35" s="341" t="s">
        <v>60</v>
      </c>
      <c r="F35" s="82"/>
      <c r="G35" s="83">
        <v>45405</v>
      </c>
      <c r="H35" s="429"/>
      <c r="I35" s="468" t="s">
        <v>987</v>
      </c>
      <c r="J35" s="335" t="s">
        <v>988</v>
      </c>
      <c r="K35" s="431">
        <v>6</v>
      </c>
      <c r="L35" s="430"/>
      <c r="M35" s="410">
        <f t="shared" si="12"/>
        <v>6</v>
      </c>
      <c r="N35" s="376"/>
      <c r="O35" s="332"/>
      <c r="P35" s="435">
        <f t="shared" si="11"/>
        <v>6</v>
      </c>
      <c r="Q35" s="712"/>
    </row>
    <row r="36" spans="1:17" s="56" customFormat="1" ht="18.75" customHeight="1" x14ac:dyDescent="0.25">
      <c r="A36" s="41"/>
      <c r="B36" s="330" t="s">
        <v>741</v>
      </c>
      <c r="C36" s="642"/>
      <c r="D36" s="44"/>
      <c r="E36" s="45"/>
      <c r="F36" s="46"/>
      <c r="G36" s="47"/>
      <c r="H36" s="48"/>
      <c r="I36" s="49"/>
      <c r="J36" s="50"/>
      <c r="K36" s="51"/>
      <c r="L36" s="53"/>
      <c r="M36" s="54"/>
      <c r="N36" s="55"/>
      <c r="O36" s="53"/>
      <c r="P36" s="54"/>
      <c r="Q36" s="712">
        <f t="shared" si="3"/>
        <v>0</v>
      </c>
    </row>
    <row r="37" spans="1:17" s="9" customFormat="1" ht="22.5" customHeight="1" x14ac:dyDescent="0.25">
      <c r="A37" s="721"/>
      <c r="B37" s="722"/>
      <c r="C37" s="793" t="s">
        <v>746</v>
      </c>
      <c r="D37" s="351">
        <v>45465</v>
      </c>
      <c r="E37" s="341" t="s">
        <v>50</v>
      </c>
      <c r="F37" s="82"/>
      <c r="G37" s="83">
        <v>45324</v>
      </c>
      <c r="H37" s="429"/>
      <c r="I37" s="468" t="s">
        <v>742</v>
      </c>
      <c r="J37" s="335" t="s">
        <v>743</v>
      </c>
      <c r="K37" s="343">
        <v>3</v>
      </c>
      <c r="L37" s="430"/>
      <c r="M37" s="410">
        <f>K37</f>
        <v>3</v>
      </c>
      <c r="N37" s="376"/>
      <c r="O37" s="332"/>
      <c r="P37" s="435">
        <f t="shared" ref="P37:P40" si="13">M37-N37</f>
        <v>3</v>
      </c>
      <c r="Q37" s="712">
        <f t="shared" si="3"/>
        <v>0</v>
      </c>
    </row>
    <row r="38" spans="1:17" s="9" customFormat="1" ht="26.4" x14ac:dyDescent="0.25">
      <c r="A38" s="89"/>
      <c r="B38" s="379"/>
      <c r="C38" s="794"/>
      <c r="D38" s="351">
        <v>45361</v>
      </c>
      <c r="E38" s="341" t="s">
        <v>50</v>
      </c>
      <c r="F38" s="82"/>
      <c r="G38" s="83">
        <v>45324</v>
      </c>
      <c r="H38" s="429"/>
      <c r="I38" s="468" t="s">
        <v>744</v>
      </c>
      <c r="J38" s="335" t="s">
        <v>745</v>
      </c>
      <c r="K38" s="343">
        <v>1</v>
      </c>
      <c r="L38" s="430"/>
      <c r="M38" s="410">
        <f>K38</f>
        <v>1</v>
      </c>
      <c r="N38" s="376"/>
      <c r="O38" s="332"/>
      <c r="P38" s="435">
        <f t="shared" si="13"/>
        <v>1</v>
      </c>
      <c r="Q38" s="712">
        <f t="shared" si="3"/>
        <v>0</v>
      </c>
    </row>
    <row r="39" spans="1:17" s="56" customFormat="1" ht="27" customHeight="1" x14ac:dyDescent="0.25">
      <c r="A39" s="719"/>
      <c r="B39" s="720"/>
      <c r="C39" s="791" t="s">
        <v>867</v>
      </c>
      <c r="D39" s="351">
        <v>45516</v>
      </c>
      <c r="E39" s="341" t="s">
        <v>50</v>
      </c>
      <c r="F39" s="82"/>
      <c r="G39" s="83">
        <v>45369</v>
      </c>
      <c r="H39" s="48"/>
      <c r="I39" s="468" t="s">
        <v>863</v>
      </c>
      <c r="J39" s="335" t="s">
        <v>864</v>
      </c>
      <c r="K39" s="453">
        <v>1</v>
      </c>
      <c r="L39" s="53"/>
      <c r="M39" s="410">
        <f t="shared" ref="M39:M40" si="14">K39</f>
        <v>1</v>
      </c>
      <c r="N39" s="376"/>
      <c r="O39" s="332"/>
      <c r="P39" s="435">
        <f t="shared" si="13"/>
        <v>1</v>
      </c>
      <c r="Q39" s="712"/>
    </row>
    <row r="40" spans="1:17" s="56" customFormat="1" ht="27" customHeight="1" x14ac:dyDescent="0.25">
      <c r="A40" s="41"/>
      <c r="B40" s="330"/>
      <c r="C40" s="818"/>
      <c r="D40" s="351">
        <v>45516</v>
      </c>
      <c r="E40" s="341" t="s">
        <v>50</v>
      </c>
      <c r="F40" s="82"/>
      <c r="G40" s="83">
        <v>45369</v>
      </c>
      <c r="H40" s="48"/>
      <c r="I40" s="468" t="s">
        <v>865</v>
      </c>
      <c r="J40" s="335" t="s">
        <v>866</v>
      </c>
      <c r="K40" s="453">
        <v>1</v>
      </c>
      <c r="L40" s="53"/>
      <c r="M40" s="410">
        <f t="shared" si="14"/>
        <v>1</v>
      </c>
      <c r="N40" s="376"/>
      <c r="O40" s="332"/>
      <c r="P40" s="435">
        <f t="shared" si="13"/>
        <v>1</v>
      </c>
      <c r="Q40" s="712"/>
    </row>
    <row r="41" spans="1:17" s="9" customFormat="1" ht="16.5" customHeight="1" x14ac:dyDescent="0.25">
      <c r="A41" s="97"/>
      <c r="B41" s="330" t="s">
        <v>45</v>
      </c>
      <c r="C41" s="642"/>
      <c r="D41" s="98"/>
      <c r="E41" s="99"/>
      <c r="F41" s="569">
        <v>1838876.68</v>
      </c>
      <c r="G41" s="101"/>
      <c r="H41" s="102"/>
      <c r="I41" s="103"/>
      <c r="J41" s="105"/>
      <c r="K41" s="106"/>
      <c r="L41" s="53"/>
      <c r="M41" s="54"/>
      <c r="N41" s="55"/>
      <c r="O41" s="53"/>
      <c r="P41" s="54"/>
      <c r="Q41" s="712">
        <f t="shared" si="3"/>
        <v>0</v>
      </c>
    </row>
    <row r="42" spans="1:17" s="121" customFormat="1" ht="39.6" x14ac:dyDescent="0.25">
      <c r="A42" s="78"/>
      <c r="B42" s="132"/>
      <c r="C42" s="472"/>
      <c r="D42" s="426"/>
      <c r="E42" s="337" t="s">
        <v>40</v>
      </c>
      <c r="F42" s="672" t="s">
        <v>765</v>
      </c>
      <c r="G42" s="94"/>
      <c r="H42" s="134"/>
      <c r="I42" s="468" t="s">
        <v>67</v>
      </c>
      <c r="J42" s="336" t="s">
        <v>68</v>
      </c>
      <c r="K42" s="470">
        <v>4</v>
      </c>
      <c r="L42" s="135"/>
      <c r="M42" s="87">
        <f t="shared" ref="M42:M43" si="15">K42</f>
        <v>4</v>
      </c>
      <c r="N42" s="130"/>
      <c r="O42" s="135"/>
      <c r="P42" s="137">
        <f t="shared" ref="P42:P65" si="16">M42-N42</f>
        <v>4</v>
      </c>
      <c r="Q42" s="712">
        <f t="shared" si="3"/>
        <v>0</v>
      </c>
    </row>
    <row r="43" spans="1:17" s="121" customFormat="1" ht="39.75" customHeight="1" x14ac:dyDescent="0.25">
      <c r="A43" s="78"/>
      <c r="B43" s="132"/>
      <c r="C43" s="549" t="s">
        <v>460</v>
      </c>
      <c r="D43" s="426">
        <v>45040</v>
      </c>
      <c r="E43" s="365" t="s">
        <v>50</v>
      </c>
      <c r="F43" s="93"/>
      <c r="G43" s="426">
        <v>44956</v>
      </c>
      <c r="H43" s="134"/>
      <c r="I43" s="468" t="s">
        <v>210</v>
      </c>
      <c r="J43" s="336" t="s">
        <v>150</v>
      </c>
      <c r="K43" s="513">
        <v>2</v>
      </c>
      <c r="L43" s="135"/>
      <c r="M43" s="87">
        <f t="shared" si="15"/>
        <v>2</v>
      </c>
      <c r="N43" s="130"/>
      <c r="O43" s="135"/>
      <c r="P43" s="137">
        <f t="shared" si="16"/>
        <v>2</v>
      </c>
      <c r="Q43" s="712">
        <f t="shared" si="3"/>
        <v>0</v>
      </c>
    </row>
    <row r="44" spans="1:17" s="121" customFormat="1" ht="21.75" customHeight="1" x14ac:dyDescent="0.25">
      <c r="A44" s="78"/>
      <c r="B44" s="132"/>
      <c r="C44" s="549" t="s">
        <v>414</v>
      </c>
      <c r="D44" s="426">
        <v>45083</v>
      </c>
      <c r="E44" s="365" t="s">
        <v>50</v>
      </c>
      <c r="F44" s="93"/>
      <c r="G44" s="426">
        <v>45042</v>
      </c>
      <c r="H44" s="134"/>
      <c r="I44" s="468" t="s">
        <v>255</v>
      </c>
      <c r="J44" s="538" t="s">
        <v>226</v>
      </c>
      <c r="K44" s="513">
        <v>30</v>
      </c>
      <c r="L44" s="135"/>
      <c r="M44" s="87">
        <v>10</v>
      </c>
      <c r="N44" s="130"/>
      <c r="O44" s="135"/>
      <c r="P44" s="137">
        <f t="shared" si="16"/>
        <v>10</v>
      </c>
      <c r="Q44" s="712">
        <f t="shared" si="3"/>
        <v>0</v>
      </c>
    </row>
    <row r="45" spans="1:17" s="121" customFormat="1" ht="29.25" customHeight="1" x14ac:dyDescent="0.25">
      <c r="A45" s="78"/>
      <c r="B45" s="132"/>
      <c r="C45" s="471" t="s">
        <v>418</v>
      </c>
      <c r="D45" s="351">
        <v>45311</v>
      </c>
      <c r="E45" s="365" t="s">
        <v>50</v>
      </c>
      <c r="F45" s="93"/>
      <c r="G45" s="426">
        <v>45238</v>
      </c>
      <c r="H45" s="134"/>
      <c r="I45" s="468" t="s">
        <v>524</v>
      </c>
      <c r="J45" s="336" t="s">
        <v>525</v>
      </c>
      <c r="K45" s="513">
        <v>2</v>
      </c>
      <c r="L45" s="135"/>
      <c r="M45" s="87">
        <v>2</v>
      </c>
      <c r="N45" s="130"/>
      <c r="O45" s="135"/>
      <c r="P45" s="137">
        <f t="shared" si="16"/>
        <v>2</v>
      </c>
      <c r="Q45" s="712">
        <f t="shared" si="3"/>
        <v>0</v>
      </c>
    </row>
    <row r="46" spans="1:17" s="121" customFormat="1" ht="29.25" customHeight="1" x14ac:dyDescent="0.25">
      <c r="A46" s="78"/>
      <c r="B46" s="132"/>
      <c r="C46" s="471" t="s">
        <v>418</v>
      </c>
      <c r="D46" s="351"/>
      <c r="E46" s="365" t="s">
        <v>50</v>
      </c>
      <c r="F46" s="93"/>
      <c r="G46" s="426">
        <v>45254</v>
      </c>
      <c r="H46" s="134"/>
      <c r="I46" s="468" t="s">
        <v>583</v>
      </c>
      <c r="J46" s="336" t="s">
        <v>584</v>
      </c>
      <c r="K46" s="513">
        <v>8</v>
      </c>
      <c r="L46" s="135"/>
      <c r="M46" s="87">
        <v>7</v>
      </c>
      <c r="N46" s="130">
        <v>2</v>
      </c>
      <c r="O46" s="135"/>
      <c r="P46" s="842">
        <f t="shared" si="16"/>
        <v>5</v>
      </c>
      <c r="Q46" s="712">
        <f t="shared" si="3"/>
        <v>2</v>
      </c>
    </row>
    <row r="47" spans="1:17" s="121" customFormat="1" ht="36.75" customHeight="1" x14ac:dyDescent="0.25">
      <c r="A47" s="78"/>
      <c r="B47" s="132"/>
      <c r="C47" s="471" t="s">
        <v>629</v>
      </c>
      <c r="D47" s="351">
        <v>45416</v>
      </c>
      <c r="E47" s="365" t="s">
        <v>50</v>
      </c>
      <c r="F47" s="93"/>
      <c r="G47" s="426">
        <v>45254</v>
      </c>
      <c r="H47" s="134"/>
      <c r="I47" s="468" t="s">
        <v>625</v>
      </c>
      <c r="J47" s="336" t="s">
        <v>626</v>
      </c>
      <c r="K47" s="513">
        <v>1</v>
      </c>
      <c r="L47" s="135"/>
      <c r="M47" s="87">
        <f t="shared" ref="M47:M65" si="17">K47</f>
        <v>1</v>
      </c>
      <c r="N47" s="130"/>
      <c r="O47" s="135"/>
      <c r="P47" s="137">
        <f t="shared" si="16"/>
        <v>1</v>
      </c>
      <c r="Q47" s="712">
        <f t="shared" si="3"/>
        <v>0</v>
      </c>
    </row>
    <row r="48" spans="1:17" s="121" customFormat="1" ht="35.25" customHeight="1" x14ac:dyDescent="0.25">
      <c r="A48" s="78"/>
      <c r="B48" s="132"/>
      <c r="C48" s="549" t="s">
        <v>713</v>
      </c>
      <c r="D48" s="351">
        <v>45422</v>
      </c>
      <c r="E48" s="365" t="s">
        <v>50</v>
      </c>
      <c r="F48" s="93"/>
      <c r="G48" s="426">
        <v>45306</v>
      </c>
      <c r="H48" s="134"/>
      <c r="I48" s="468" t="s">
        <v>714</v>
      </c>
      <c r="J48" s="336" t="s">
        <v>715</v>
      </c>
      <c r="K48" s="513">
        <v>5</v>
      </c>
      <c r="L48" s="135"/>
      <c r="M48" s="87">
        <f t="shared" si="17"/>
        <v>5</v>
      </c>
      <c r="N48" s="130"/>
      <c r="O48" s="135"/>
      <c r="P48" s="137">
        <f t="shared" si="16"/>
        <v>5</v>
      </c>
      <c r="Q48" s="712">
        <f t="shared" si="3"/>
        <v>0</v>
      </c>
    </row>
    <row r="49" spans="1:17" s="121" customFormat="1" ht="35.25" customHeight="1" x14ac:dyDescent="0.25">
      <c r="A49" s="78"/>
      <c r="B49" s="132"/>
      <c r="C49" s="790" t="s">
        <v>834</v>
      </c>
      <c r="D49" s="351">
        <v>45453</v>
      </c>
      <c r="E49" s="365" t="s">
        <v>50</v>
      </c>
      <c r="F49" s="93"/>
      <c r="G49" s="426">
        <v>45355</v>
      </c>
      <c r="H49" s="134"/>
      <c r="I49" s="468" t="s">
        <v>831</v>
      </c>
      <c r="J49" s="336" t="s">
        <v>144</v>
      </c>
      <c r="K49" s="513">
        <v>2</v>
      </c>
      <c r="L49" s="135"/>
      <c r="M49" s="87">
        <f t="shared" si="17"/>
        <v>2</v>
      </c>
      <c r="N49" s="130"/>
      <c r="O49" s="135"/>
      <c r="P49" s="137">
        <f t="shared" si="16"/>
        <v>2</v>
      </c>
      <c r="Q49" s="712"/>
    </row>
    <row r="50" spans="1:17" s="121" customFormat="1" ht="35.25" customHeight="1" x14ac:dyDescent="0.25">
      <c r="A50" s="78"/>
      <c r="B50" s="132"/>
      <c r="C50" s="792"/>
      <c r="D50" s="351">
        <v>45518</v>
      </c>
      <c r="E50" s="365" t="s">
        <v>50</v>
      </c>
      <c r="F50" s="93"/>
      <c r="G50" s="426">
        <v>45355</v>
      </c>
      <c r="H50" s="134"/>
      <c r="I50" s="468" t="s">
        <v>832</v>
      </c>
      <c r="J50" s="336" t="s">
        <v>833</v>
      </c>
      <c r="K50" s="513">
        <v>1</v>
      </c>
      <c r="L50" s="135"/>
      <c r="M50" s="87">
        <f t="shared" si="17"/>
        <v>1</v>
      </c>
      <c r="N50" s="130"/>
      <c r="O50" s="135"/>
      <c r="P50" s="137">
        <f t="shared" si="16"/>
        <v>1</v>
      </c>
      <c r="Q50" s="712"/>
    </row>
    <row r="51" spans="1:17" s="121" customFormat="1" ht="35.25" customHeight="1" x14ac:dyDescent="0.25">
      <c r="A51" s="78"/>
      <c r="B51" s="132"/>
      <c r="C51" s="790" t="s">
        <v>894</v>
      </c>
      <c r="D51" s="351">
        <v>45531</v>
      </c>
      <c r="E51" s="365" t="s">
        <v>50</v>
      </c>
      <c r="F51" s="93"/>
      <c r="G51" s="426">
        <v>45383</v>
      </c>
      <c r="H51" s="134"/>
      <c r="I51" s="468" t="s">
        <v>892</v>
      </c>
      <c r="J51" s="336" t="s">
        <v>144</v>
      </c>
      <c r="K51" s="513">
        <v>1</v>
      </c>
      <c r="L51" s="135"/>
      <c r="M51" s="87">
        <f>K51</f>
        <v>1</v>
      </c>
      <c r="N51" s="130"/>
      <c r="O51" s="135"/>
      <c r="P51" s="137">
        <f>M51-N51</f>
        <v>1</v>
      </c>
      <c r="Q51" s="712"/>
    </row>
    <row r="52" spans="1:17" s="121" customFormat="1" ht="35.25" customHeight="1" x14ac:dyDescent="0.25">
      <c r="A52" s="78"/>
      <c r="B52" s="132"/>
      <c r="C52" s="792"/>
      <c r="D52" s="351">
        <v>45524</v>
      </c>
      <c r="E52" s="365" t="s">
        <v>50</v>
      </c>
      <c r="F52" s="93"/>
      <c r="G52" s="426">
        <v>45383</v>
      </c>
      <c r="H52" s="134"/>
      <c r="I52" s="468" t="s">
        <v>893</v>
      </c>
      <c r="J52" s="336" t="s">
        <v>150</v>
      </c>
      <c r="K52" s="513">
        <v>1</v>
      </c>
      <c r="L52" s="135"/>
      <c r="M52" s="87">
        <f>K52</f>
        <v>1</v>
      </c>
      <c r="N52" s="130"/>
      <c r="O52" s="135"/>
      <c r="P52" s="137">
        <f>M52-N52</f>
        <v>1</v>
      </c>
      <c r="Q52" s="712"/>
    </row>
    <row r="53" spans="1:17" s="121" customFormat="1" ht="35.25" customHeight="1" x14ac:dyDescent="0.25">
      <c r="A53" s="78"/>
      <c r="B53" s="132"/>
      <c r="C53" s="790" t="s">
        <v>1013</v>
      </c>
      <c r="D53" s="762">
        <v>45584</v>
      </c>
      <c r="E53" s="365" t="s">
        <v>50</v>
      </c>
      <c r="F53" s="93"/>
      <c r="G53" s="426">
        <v>45414</v>
      </c>
      <c r="H53" s="134"/>
      <c r="I53" s="468" t="s">
        <v>1007</v>
      </c>
      <c r="J53" s="336" t="s">
        <v>1008</v>
      </c>
      <c r="K53" s="513">
        <v>4</v>
      </c>
      <c r="L53" s="135"/>
      <c r="M53" s="87">
        <f t="shared" ref="M53:M55" si="18">K53</f>
        <v>4</v>
      </c>
      <c r="N53" s="130"/>
      <c r="O53" s="135"/>
      <c r="P53" s="137">
        <f t="shared" ref="P53:P55" si="19">M53-N53</f>
        <v>4</v>
      </c>
      <c r="Q53" s="712"/>
    </row>
    <row r="54" spans="1:17" s="121" customFormat="1" ht="35.25" customHeight="1" x14ac:dyDescent="0.25">
      <c r="A54" s="78"/>
      <c r="B54" s="132"/>
      <c r="C54" s="791"/>
      <c r="D54" s="762">
        <v>45584</v>
      </c>
      <c r="E54" s="365" t="s">
        <v>50</v>
      </c>
      <c r="F54" s="93"/>
      <c r="G54" s="426">
        <v>45414</v>
      </c>
      <c r="H54" s="134"/>
      <c r="I54" s="468" t="s">
        <v>1009</v>
      </c>
      <c r="J54" s="336" t="s">
        <v>1010</v>
      </c>
      <c r="K54" s="513">
        <v>1</v>
      </c>
      <c r="L54" s="135"/>
      <c r="M54" s="87">
        <f t="shared" si="18"/>
        <v>1</v>
      </c>
      <c r="N54" s="130"/>
      <c r="O54" s="135"/>
      <c r="P54" s="137">
        <f t="shared" si="19"/>
        <v>1</v>
      </c>
      <c r="Q54" s="712"/>
    </row>
    <row r="55" spans="1:17" s="121" customFormat="1" ht="35.25" customHeight="1" x14ac:dyDescent="0.25">
      <c r="A55" s="78"/>
      <c r="B55" s="132"/>
      <c r="C55" s="792"/>
      <c r="D55" s="762">
        <v>45584</v>
      </c>
      <c r="E55" s="365" t="s">
        <v>50</v>
      </c>
      <c r="F55" s="93"/>
      <c r="G55" s="426">
        <v>45414</v>
      </c>
      <c r="H55" s="134"/>
      <c r="I55" s="468" t="s">
        <v>1011</v>
      </c>
      <c r="J55" s="336" t="s">
        <v>204</v>
      </c>
      <c r="K55" s="513">
        <v>1</v>
      </c>
      <c r="L55" s="135"/>
      <c r="M55" s="87">
        <f t="shared" si="18"/>
        <v>1</v>
      </c>
      <c r="N55" s="130"/>
      <c r="O55" s="135"/>
      <c r="P55" s="137">
        <f t="shared" si="19"/>
        <v>1</v>
      </c>
      <c r="Q55" s="712"/>
    </row>
    <row r="56" spans="1:17" s="121" customFormat="1" ht="35.25" customHeight="1" x14ac:dyDescent="0.25">
      <c r="A56" s="78"/>
      <c r="B56" s="132"/>
      <c r="C56" s="761" t="s">
        <v>1014</v>
      </c>
      <c r="D56" s="762">
        <v>45554</v>
      </c>
      <c r="E56" s="365" t="s">
        <v>50</v>
      </c>
      <c r="F56" s="93"/>
      <c r="G56" s="426">
        <v>45414</v>
      </c>
      <c r="H56" s="134"/>
      <c r="I56" s="468" t="s">
        <v>1012</v>
      </c>
      <c r="J56" s="336" t="s">
        <v>1010</v>
      </c>
      <c r="K56" s="513">
        <v>1</v>
      </c>
      <c r="L56" s="135"/>
      <c r="M56" s="87"/>
      <c r="N56" s="130"/>
      <c r="O56" s="135"/>
      <c r="P56" s="137"/>
      <c r="Q56" s="712"/>
    </row>
    <row r="57" spans="1:17" s="121" customFormat="1" ht="31.5" customHeight="1" x14ac:dyDescent="0.25">
      <c r="A57" s="78"/>
      <c r="B57" s="132"/>
      <c r="C57" s="790" t="s">
        <v>761</v>
      </c>
      <c r="D57" s="426">
        <v>45083</v>
      </c>
      <c r="E57" s="365" t="s">
        <v>50</v>
      </c>
      <c r="F57" s="93"/>
      <c r="G57" s="426">
        <v>45042</v>
      </c>
      <c r="H57" s="134"/>
      <c r="I57" s="468" t="s">
        <v>257</v>
      </c>
      <c r="J57" s="336" t="s">
        <v>244</v>
      </c>
      <c r="K57" s="513">
        <v>5</v>
      </c>
      <c r="L57" s="135"/>
      <c r="M57" s="87">
        <f t="shared" si="17"/>
        <v>5</v>
      </c>
      <c r="N57" s="130"/>
      <c r="O57" s="135"/>
      <c r="P57" s="137">
        <f t="shared" si="16"/>
        <v>5</v>
      </c>
      <c r="Q57" s="712">
        <f t="shared" si="3"/>
        <v>0</v>
      </c>
    </row>
    <row r="58" spans="1:17" s="121" customFormat="1" ht="31.5" customHeight="1" x14ac:dyDescent="0.25">
      <c r="A58" s="78"/>
      <c r="B58" s="132"/>
      <c r="C58" s="791"/>
      <c r="D58" s="426">
        <v>45083</v>
      </c>
      <c r="E58" s="365" t="s">
        <v>50</v>
      </c>
      <c r="F58" s="93"/>
      <c r="G58" s="426">
        <v>45042</v>
      </c>
      <c r="H58" s="134"/>
      <c r="I58" s="468" t="s">
        <v>258</v>
      </c>
      <c r="J58" s="336" t="s">
        <v>245</v>
      </c>
      <c r="K58" s="513">
        <v>5</v>
      </c>
      <c r="L58" s="135"/>
      <c r="M58" s="87">
        <f t="shared" si="17"/>
        <v>5</v>
      </c>
      <c r="N58" s="130"/>
      <c r="O58" s="135"/>
      <c r="P58" s="137">
        <f t="shared" si="16"/>
        <v>5</v>
      </c>
      <c r="Q58" s="712">
        <f t="shared" si="3"/>
        <v>0</v>
      </c>
    </row>
    <row r="59" spans="1:17" s="121" customFormat="1" ht="31.5" customHeight="1" x14ac:dyDescent="0.25">
      <c r="A59" s="78"/>
      <c r="B59" s="132"/>
      <c r="C59" s="791"/>
      <c r="D59" s="426">
        <v>45083</v>
      </c>
      <c r="E59" s="365" t="s">
        <v>50</v>
      </c>
      <c r="F59" s="93"/>
      <c r="G59" s="426">
        <v>45042</v>
      </c>
      <c r="H59" s="134"/>
      <c r="I59" s="468" t="s">
        <v>259</v>
      </c>
      <c r="J59" s="336" t="s">
        <v>246</v>
      </c>
      <c r="K59" s="513">
        <v>5</v>
      </c>
      <c r="L59" s="135"/>
      <c r="M59" s="87">
        <f t="shared" si="17"/>
        <v>5</v>
      </c>
      <c r="N59" s="130"/>
      <c r="O59" s="135"/>
      <c r="P59" s="137">
        <f t="shared" si="16"/>
        <v>5</v>
      </c>
      <c r="Q59" s="712">
        <f t="shared" si="3"/>
        <v>0</v>
      </c>
    </row>
    <row r="60" spans="1:17" s="121" customFormat="1" ht="31.5" customHeight="1" x14ac:dyDescent="0.25">
      <c r="A60" s="78"/>
      <c r="B60" s="132"/>
      <c r="C60" s="791"/>
      <c r="D60" s="426">
        <v>45083</v>
      </c>
      <c r="E60" s="365" t="s">
        <v>50</v>
      </c>
      <c r="F60" s="93"/>
      <c r="G60" s="426">
        <v>45042</v>
      </c>
      <c r="H60" s="134"/>
      <c r="I60" s="468" t="s">
        <v>260</v>
      </c>
      <c r="J60" s="336" t="s">
        <v>247</v>
      </c>
      <c r="K60" s="513">
        <v>20</v>
      </c>
      <c r="L60" s="135"/>
      <c r="M60" s="87">
        <f t="shared" si="17"/>
        <v>20</v>
      </c>
      <c r="N60" s="130"/>
      <c r="O60" s="135"/>
      <c r="P60" s="137">
        <f t="shared" si="16"/>
        <v>20</v>
      </c>
      <c r="Q60" s="712">
        <f t="shared" si="3"/>
        <v>0</v>
      </c>
    </row>
    <row r="61" spans="1:17" s="121" customFormat="1" ht="31.5" customHeight="1" x14ac:dyDescent="0.25">
      <c r="A61" s="78"/>
      <c r="B61" s="132"/>
      <c r="C61" s="791"/>
      <c r="D61" s="426">
        <v>45083</v>
      </c>
      <c r="E61" s="365" t="s">
        <v>50</v>
      </c>
      <c r="F61" s="93"/>
      <c r="G61" s="426">
        <v>45042</v>
      </c>
      <c r="H61" s="134"/>
      <c r="I61" s="468" t="s">
        <v>261</v>
      </c>
      <c r="J61" s="336" t="s">
        <v>248</v>
      </c>
      <c r="K61" s="513">
        <v>50</v>
      </c>
      <c r="L61" s="135"/>
      <c r="M61" s="87">
        <f t="shared" si="17"/>
        <v>50</v>
      </c>
      <c r="N61" s="130"/>
      <c r="O61" s="135"/>
      <c r="P61" s="137">
        <f t="shared" si="16"/>
        <v>50</v>
      </c>
      <c r="Q61" s="712">
        <f t="shared" si="3"/>
        <v>0</v>
      </c>
    </row>
    <row r="62" spans="1:17" s="121" customFormat="1" ht="33" customHeight="1" x14ac:dyDescent="0.25">
      <c r="A62" s="78"/>
      <c r="B62" s="132"/>
      <c r="C62" s="791"/>
      <c r="D62" s="426">
        <v>45083</v>
      </c>
      <c r="E62" s="365" t="s">
        <v>50</v>
      </c>
      <c r="F62" s="93"/>
      <c r="G62" s="426">
        <v>45042</v>
      </c>
      <c r="H62" s="134"/>
      <c r="I62" s="468" t="s">
        <v>264</v>
      </c>
      <c r="J62" s="336" t="s">
        <v>251</v>
      </c>
      <c r="K62" s="513">
        <v>2</v>
      </c>
      <c r="L62" s="135"/>
      <c r="M62" s="87">
        <f t="shared" si="17"/>
        <v>2</v>
      </c>
      <c r="N62" s="130"/>
      <c r="O62" s="135"/>
      <c r="P62" s="137">
        <f t="shared" si="16"/>
        <v>2</v>
      </c>
      <c r="Q62" s="712">
        <f t="shared" si="3"/>
        <v>0</v>
      </c>
    </row>
    <row r="63" spans="1:17" s="121" customFormat="1" ht="33" customHeight="1" x14ac:dyDescent="0.25">
      <c r="A63" s="78"/>
      <c r="B63" s="132"/>
      <c r="C63" s="791"/>
      <c r="D63" s="426">
        <v>45083</v>
      </c>
      <c r="E63" s="365" t="s">
        <v>50</v>
      </c>
      <c r="F63" s="93"/>
      <c r="G63" s="426">
        <v>45042</v>
      </c>
      <c r="H63" s="134"/>
      <c r="I63" s="468" t="s">
        <v>265</v>
      </c>
      <c r="J63" s="336" t="s">
        <v>252</v>
      </c>
      <c r="K63" s="513">
        <v>2</v>
      </c>
      <c r="L63" s="135"/>
      <c r="M63" s="87">
        <f t="shared" si="17"/>
        <v>2</v>
      </c>
      <c r="N63" s="130"/>
      <c r="O63" s="135"/>
      <c r="P63" s="137">
        <f t="shared" si="16"/>
        <v>2</v>
      </c>
      <c r="Q63" s="712">
        <f t="shared" si="3"/>
        <v>0</v>
      </c>
    </row>
    <row r="64" spans="1:17" s="121" customFormat="1" ht="33" customHeight="1" x14ac:dyDescent="0.25">
      <c r="A64" s="78"/>
      <c r="B64" s="132"/>
      <c r="C64" s="791"/>
      <c r="D64" s="426">
        <v>45083</v>
      </c>
      <c r="E64" s="365" t="s">
        <v>50</v>
      </c>
      <c r="F64" s="93"/>
      <c r="G64" s="426">
        <v>45042</v>
      </c>
      <c r="H64" s="134"/>
      <c r="I64" s="468" t="s">
        <v>266</v>
      </c>
      <c r="J64" s="336" t="s">
        <v>253</v>
      </c>
      <c r="K64" s="513">
        <v>2</v>
      </c>
      <c r="L64" s="135"/>
      <c r="M64" s="87">
        <f t="shared" si="17"/>
        <v>2</v>
      </c>
      <c r="N64" s="130"/>
      <c r="O64" s="135"/>
      <c r="P64" s="137">
        <f t="shared" si="16"/>
        <v>2</v>
      </c>
      <c r="Q64" s="712">
        <f t="shared" si="3"/>
        <v>0</v>
      </c>
    </row>
    <row r="65" spans="1:17" s="121" customFormat="1" ht="33" customHeight="1" x14ac:dyDescent="0.25">
      <c r="A65" s="78"/>
      <c r="B65" s="132"/>
      <c r="C65" s="818"/>
      <c r="D65" s="426">
        <v>45083</v>
      </c>
      <c r="E65" s="365" t="s">
        <v>50</v>
      </c>
      <c r="F65" s="93"/>
      <c r="G65" s="426">
        <v>45042</v>
      </c>
      <c r="H65" s="134"/>
      <c r="I65" s="468" t="s">
        <v>267</v>
      </c>
      <c r="J65" s="336" t="s">
        <v>254</v>
      </c>
      <c r="K65" s="513">
        <v>2</v>
      </c>
      <c r="L65" s="135"/>
      <c r="M65" s="87">
        <f t="shared" si="17"/>
        <v>2</v>
      </c>
      <c r="N65" s="130"/>
      <c r="O65" s="135"/>
      <c r="P65" s="137">
        <f t="shared" si="16"/>
        <v>2</v>
      </c>
      <c r="Q65" s="712">
        <f t="shared" si="3"/>
        <v>0</v>
      </c>
    </row>
    <row r="66" spans="1:17" s="9" customFormat="1" ht="27.75" customHeight="1" x14ac:dyDescent="0.25">
      <c r="A66" s="97"/>
      <c r="B66" s="330" t="s">
        <v>43</v>
      </c>
      <c r="C66" s="642"/>
      <c r="D66" s="98"/>
      <c r="E66" s="99"/>
      <c r="F66" s="575">
        <f>SUM(F67:F74)</f>
        <v>412196.08999999997</v>
      </c>
      <c r="G66" s="101"/>
      <c r="H66" s="102"/>
      <c r="I66" s="819" t="s">
        <v>772</v>
      </c>
      <c r="J66" s="820"/>
      <c r="K66" s="821"/>
      <c r="L66" s="111"/>
      <c r="M66" s="112"/>
      <c r="N66" s="113"/>
      <c r="O66" s="111"/>
      <c r="P66" s="112"/>
      <c r="Q66" s="712">
        <f t="shared" si="3"/>
        <v>0</v>
      </c>
    </row>
    <row r="67" spans="1:17" s="1" customFormat="1" ht="35.25" customHeight="1" x14ac:dyDescent="0.25">
      <c r="A67" s="333"/>
      <c r="B67" s="377"/>
      <c r="C67" s="532" t="s">
        <v>242</v>
      </c>
      <c r="D67" s="436">
        <v>45090</v>
      </c>
      <c r="E67" s="365" t="s">
        <v>50</v>
      </c>
      <c r="F67" s="677">
        <v>288201.3</v>
      </c>
      <c r="G67" s="437">
        <v>45028</v>
      </c>
      <c r="H67" s="421"/>
      <c r="I67" s="468" t="s">
        <v>236</v>
      </c>
      <c r="J67" s="447" t="s">
        <v>235</v>
      </c>
      <c r="K67" s="453">
        <v>1</v>
      </c>
      <c r="L67" s="420"/>
      <c r="M67" s="87">
        <f t="shared" ref="M67:M73" si="20">K67</f>
        <v>1</v>
      </c>
      <c r="N67" s="449"/>
      <c r="O67" s="142"/>
      <c r="P67" s="137">
        <f t="shared" ref="P67" si="21">K67-N67</f>
        <v>1</v>
      </c>
      <c r="Q67" s="712">
        <f t="shared" si="3"/>
        <v>0</v>
      </c>
    </row>
    <row r="68" spans="1:17" s="1" customFormat="1" ht="35.25" customHeight="1" x14ac:dyDescent="0.25">
      <c r="A68" s="333"/>
      <c r="B68" s="377"/>
      <c r="C68" s="532" t="s">
        <v>279</v>
      </c>
      <c r="D68" s="436">
        <v>45137</v>
      </c>
      <c r="E68" s="365" t="s">
        <v>50</v>
      </c>
      <c r="F68" s="677">
        <v>14478.02</v>
      </c>
      <c r="G68" s="437">
        <v>45082</v>
      </c>
      <c r="H68" s="421"/>
      <c r="I68" s="468" t="s">
        <v>280</v>
      </c>
      <c r="J68" s="447" t="s">
        <v>281</v>
      </c>
      <c r="K68" s="453">
        <v>1</v>
      </c>
      <c r="L68" s="420"/>
      <c r="M68" s="87">
        <f t="shared" si="20"/>
        <v>1</v>
      </c>
      <c r="N68" s="449"/>
      <c r="O68" s="142"/>
      <c r="P68" s="137">
        <f>M68-N68</f>
        <v>1</v>
      </c>
      <c r="Q68" s="712">
        <f t="shared" si="3"/>
        <v>0</v>
      </c>
    </row>
    <row r="69" spans="1:17" s="1" customFormat="1" ht="35.25" customHeight="1" x14ac:dyDescent="0.25">
      <c r="A69" s="333"/>
      <c r="B69" s="377"/>
      <c r="C69" s="797" t="s">
        <v>768</v>
      </c>
      <c r="D69" s="436">
        <v>45244</v>
      </c>
      <c r="E69" s="365" t="s">
        <v>60</v>
      </c>
      <c r="F69" s="677"/>
      <c r="G69" s="437">
        <v>45156</v>
      </c>
      <c r="H69" s="421"/>
      <c r="I69" s="468" t="s">
        <v>368</v>
      </c>
      <c r="J69" s="447" t="s">
        <v>365</v>
      </c>
      <c r="K69" s="453">
        <v>2</v>
      </c>
      <c r="L69" s="420"/>
      <c r="M69" s="87">
        <f t="shared" si="20"/>
        <v>2</v>
      </c>
      <c r="N69" s="449"/>
      <c r="O69" s="142"/>
      <c r="P69" s="137">
        <f t="shared" ref="P69:P73" si="22">M69-N69</f>
        <v>2</v>
      </c>
      <c r="Q69" s="712">
        <f t="shared" si="3"/>
        <v>0</v>
      </c>
    </row>
    <row r="70" spans="1:17" s="1" customFormat="1" ht="35.25" customHeight="1" x14ac:dyDescent="0.25">
      <c r="A70" s="333"/>
      <c r="B70" s="377"/>
      <c r="C70" s="797"/>
      <c r="D70" s="436">
        <v>45244</v>
      </c>
      <c r="E70" s="365" t="s">
        <v>60</v>
      </c>
      <c r="F70" s="677"/>
      <c r="G70" s="437">
        <v>45156</v>
      </c>
      <c r="H70" s="421"/>
      <c r="I70" s="468" t="s">
        <v>369</v>
      </c>
      <c r="J70" s="447" t="s">
        <v>366</v>
      </c>
      <c r="K70" s="453">
        <v>1</v>
      </c>
      <c r="L70" s="420"/>
      <c r="M70" s="87">
        <f t="shared" si="20"/>
        <v>1</v>
      </c>
      <c r="N70" s="449"/>
      <c r="O70" s="142"/>
      <c r="P70" s="137">
        <f t="shared" si="22"/>
        <v>1</v>
      </c>
      <c r="Q70" s="712">
        <f t="shared" si="3"/>
        <v>0</v>
      </c>
    </row>
    <row r="71" spans="1:17" s="1" customFormat="1" ht="35.25" customHeight="1" x14ac:dyDescent="0.25">
      <c r="A71" s="333"/>
      <c r="B71" s="377"/>
      <c r="C71" s="797"/>
      <c r="D71" s="436">
        <v>45244</v>
      </c>
      <c r="E71" s="365" t="s">
        <v>60</v>
      </c>
      <c r="F71" s="677"/>
      <c r="G71" s="437">
        <v>45156</v>
      </c>
      <c r="H71" s="421"/>
      <c r="I71" s="468" t="s">
        <v>370</v>
      </c>
      <c r="J71" s="447" t="s">
        <v>367</v>
      </c>
      <c r="K71" s="453">
        <v>1</v>
      </c>
      <c r="L71" s="420"/>
      <c r="M71" s="87">
        <f t="shared" si="20"/>
        <v>1</v>
      </c>
      <c r="N71" s="449"/>
      <c r="O71" s="142"/>
      <c r="P71" s="137">
        <f t="shared" si="22"/>
        <v>1</v>
      </c>
      <c r="Q71" s="712">
        <f t="shared" si="3"/>
        <v>0</v>
      </c>
    </row>
    <row r="72" spans="1:17" s="1" customFormat="1" ht="35.25" customHeight="1" x14ac:dyDescent="0.25">
      <c r="A72" s="333"/>
      <c r="B72" s="377"/>
      <c r="C72" s="798"/>
      <c r="D72" s="436">
        <v>45244</v>
      </c>
      <c r="E72" s="365" t="s">
        <v>60</v>
      </c>
      <c r="F72" s="677">
        <v>55506.74</v>
      </c>
      <c r="G72" s="437">
        <v>45156</v>
      </c>
      <c r="H72" s="421"/>
      <c r="I72" s="468" t="s">
        <v>371</v>
      </c>
      <c r="J72" s="335" t="s">
        <v>208</v>
      </c>
      <c r="K72" s="453">
        <v>30</v>
      </c>
      <c r="L72" s="420"/>
      <c r="M72" s="87">
        <f t="shared" si="20"/>
        <v>30</v>
      </c>
      <c r="N72" s="449"/>
      <c r="O72" s="142"/>
      <c r="P72" s="137">
        <f t="shared" si="22"/>
        <v>30</v>
      </c>
      <c r="Q72" s="712">
        <f t="shared" si="3"/>
        <v>0</v>
      </c>
    </row>
    <row r="73" spans="1:17" s="1" customFormat="1" ht="35.25" customHeight="1" x14ac:dyDescent="0.25">
      <c r="A73" s="333"/>
      <c r="B73" s="377"/>
      <c r="C73" s="532" t="s">
        <v>490</v>
      </c>
      <c r="D73" s="436">
        <v>45301</v>
      </c>
      <c r="E73" s="365" t="s">
        <v>60</v>
      </c>
      <c r="F73" s="677">
        <v>54010.03</v>
      </c>
      <c r="G73" s="437">
        <v>45210</v>
      </c>
      <c r="H73" s="421"/>
      <c r="I73" s="468" t="s">
        <v>492</v>
      </c>
      <c r="J73" s="447" t="s">
        <v>491</v>
      </c>
      <c r="K73" s="453">
        <v>2</v>
      </c>
      <c r="L73" s="420"/>
      <c r="M73" s="87">
        <f t="shared" si="20"/>
        <v>2</v>
      </c>
      <c r="N73" s="449"/>
      <c r="O73" s="142"/>
      <c r="P73" s="137">
        <f t="shared" si="22"/>
        <v>2</v>
      </c>
      <c r="Q73" s="712">
        <f t="shared" si="3"/>
        <v>0</v>
      </c>
    </row>
    <row r="74" spans="1:17" s="1" customFormat="1" ht="32.25" customHeight="1" x14ac:dyDescent="0.25">
      <c r="A74" s="333"/>
      <c r="B74" s="377"/>
      <c r="C74" s="488" t="s">
        <v>769</v>
      </c>
      <c r="D74" s="436">
        <v>45199</v>
      </c>
      <c r="E74" s="365" t="s">
        <v>50</v>
      </c>
      <c r="F74" s="677"/>
      <c r="G74" s="437">
        <v>45154</v>
      </c>
      <c r="H74" s="421"/>
      <c r="I74" s="468" t="s">
        <v>382</v>
      </c>
      <c r="J74" s="447" t="s">
        <v>228</v>
      </c>
      <c r="K74" s="453">
        <v>15</v>
      </c>
      <c r="L74" s="420"/>
      <c r="M74" s="87">
        <v>14</v>
      </c>
      <c r="N74" s="449"/>
      <c r="O74" s="142"/>
      <c r="P74" s="137">
        <f>M74-N74</f>
        <v>14</v>
      </c>
      <c r="Q74" s="712">
        <f t="shared" si="3"/>
        <v>0</v>
      </c>
    </row>
    <row r="75" spans="1:17" s="1" customFormat="1" ht="16.5" customHeight="1" x14ac:dyDescent="0.25">
      <c r="A75" s="474"/>
      <c r="B75" s="462" t="s">
        <v>111</v>
      </c>
      <c r="C75" s="641"/>
      <c r="D75" s="486"/>
      <c r="E75" s="475"/>
      <c r="F75" s="476"/>
      <c r="G75" s="477"/>
      <c r="H75" s="463"/>
      <c r="I75" s="478"/>
      <c r="J75" s="479"/>
      <c r="K75" s="480"/>
      <c r="L75" s="464"/>
      <c r="M75" s="54"/>
      <c r="N75" s="55"/>
      <c r="O75" s="464"/>
      <c r="P75" s="465"/>
      <c r="Q75" s="712">
        <f t="shared" si="3"/>
        <v>0</v>
      </c>
    </row>
    <row r="76" spans="1:17" s="9" customFormat="1" ht="25.5" customHeight="1" x14ac:dyDescent="0.25">
      <c r="A76" s="78"/>
      <c r="B76" s="527"/>
      <c r="C76" s="643" t="s">
        <v>562</v>
      </c>
      <c r="D76" s="351">
        <v>45209</v>
      </c>
      <c r="E76" s="337" t="s">
        <v>50</v>
      </c>
      <c r="F76" s="380"/>
      <c r="G76" s="351">
        <v>45086</v>
      </c>
      <c r="H76" s="328"/>
      <c r="I76" s="338" t="s">
        <v>289</v>
      </c>
      <c r="J76" s="335" t="s">
        <v>288</v>
      </c>
      <c r="K76" s="453">
        <v>1</v>
      </c>
      <c r="L76" s="329"/>
      <c r="M76" s="87">
        <f t="shared" ref="M76:M82" si="23">K76</f>
        <v>1</v>
      </c>
      <c r="N76" s="449"/>
      <c r="O76" s="142"/>
      <c r="P76" s="137">
        <f t="shared" ref="P76:P82" si="24">M76-N76</f>
        <v>1</v>
      </c>
      <c r="Q76" s="712">
        <f t="shared" si="3"/>
        <v>0</v>
      </c>
    </row>
    <row r="77" spans="1:17" s="9" customFormat="1" ht="25.5" customHeight="1" x14ac:dyDescent="0.25">
      <c r="A77" s="78"/>
      <c r="B77" s="527"/>
      <c r="C77" s="644" t="s">
        <v>671</v>
      </c>
      <c r="D77" s="351">
        <v>45407</v>
      </c>
      <c r="E77" s="337" t="s">
        <v>50</v>
      </c>
      <c r="F77" s="380"/>
      <c r="G77" s="351">
        <v>45286</v>
      </c>
      <c r="H77" s="328"/>
      <c r="I77" s="338" t="s">
        <v>672</v>
      </c>
      <c r="J77" s="335" t="s">
        <v>673</v>
      </c>
      <c r="K77" s="453">
        <v>3</v>
      </c>
      <c r="L77" s="329"/>
      <c r="M77" s="87">
        <f t="shared" si="23"/>
        <v>3</v>
      </c>
      <c r="N77" s="449"/>
      <c r="O77" s="142"/>
      <c r="P77" s="137">
        <f t="shared" si="24"/>
        <v>3</v>
      </c>
      <c r="Q77" s="712">
        <f t="shared" si="3"/>
        <v>0</v>
      </c>
    </row>
    <row r="78" spans="1:17" s="9" customFormat="1" ht="25.5" customHeight="1" x14ac:dyDescent="0.25">
      <c r="A78" s="78"/>
      <c r="B78" s="527"/>
      <c r="C78" s="644" t="s">
        <v>757</v>
      </c>
      <c r="D78" s="351">
        <v>45429</v>
      </c>
      <c r="E78" s="337" t="s">
        <v>50</v>
      </c>
      <c r="F78" s="380"/>
      <c r="G78" s="351">
        <v>45329</v>
      </c>
      <c r="H78" s="328"/>
      <c r="I78" s="338" t="s">
        <v>755</v>
      </c>
      <c r="J78" s="335" t="s">
        <v>756</v>
      </c>
      <c r="K78" s="453">
        <v>2</v>
      </c>
      <c r="L78" s="329"/>
      <c r="M78" s="87">
        <f t="shared" si="23"/>
        <v>2</v>
      </c>
      <c r="N78" s="449"/>
      <c r="O78" s="142"/>
      <c r="P78" s="137">
        <f t="shared" si="24"/>
        <v>2</v>
      </c>
      <c r="Q78" s="712">
        <f t="shared" si="3"/>
        <v>0</v>
      </c>
    </row>
    <row r="79" spans="1:17" s="9" customFormat="1" ht="25.5" customHeight="1" x14ac:dyDescent="0.25">
      <c r="A79" s="78"/>
      <c r="B79" s="527"/>
      <c r="C79" s="644" t="s">
        <v>809</v>
      </c>
      <c r="D79" s="351">
        <v>45355</v>
      </c>
      <c r="E79" s="337" t="s">
        <v>50</v>
      </c>
      <c r="F79" s="380"/>
      <c r="G79" s="351">
        <v>45349</v>
      </c>
      <c r="H79" s="328"/>
      <c r="I79" s="338" t="s">
        <v>807</v>
      </c>
      <c r="J79" s="335" t="s">
        <v>808</v>
      </c>
      <c r="K79" s="453">
        <v>30</v>
      </c>
      <c r="L79" s="329"/>
      <c r="M79" s="87">
        <v>10</v>
      </c>
      <c r="N79" s="449">
        <v>1</v>
      </c>
      <c r="O79" s="142"/>
      <c r="P79" s="137">
        <f t="shared" si="24"/>
        <v>9</v>
      </c>
      <c r="Q79" s="712">
        <f t="shared" si="3"/>
        <v>1</v>
      </c>
    </row>
    <row r="80" spans="1:17" s="9" customFormat="1" ht="25.5" customHeight="1" x14ac:dyDescent="0.25">
      <c r="A80" s="78"/>
      <c r="B80" s="527"/>
      <c r="C80" s="830" t="s">
        <v>909</v>
      </c>
      <c r="D80" s="725">
        <v>45504</v>
      </c>
      <c r="E80" s="337" t="s">
        <v>910</v>
      </c>
      <c r="F80" s="380"/>
      <c r="G80" s="351">
        <v>45385</v>
      </c>
      <c r="H80" s="328"/>
      <c r="I80" s="338" t="s">
        <v>904</v>
      </c>
      <c r="J80" s="335" t="s">
        <v>905</v>
      </c>
      <c r="K80" s="453">
        <v>1</v>
      </c>
      <c r="L80" s="329"/>
      <c r="M80" s="87">
        <f t="shared" si="23"/>
        <v>1</v>
      </c>
      <c r="N80" s="449"/>
      <c r="O80" s="142"/>
      <c r="P80" s="137">
        <f t="shared" si="24"/>
        <v>1</v>
      </c>
      <c r="Q80" s="712"/>
    </row>
    <row r="81" spans="1:17" s="9" customFormat="1" ht="25.5" customHeight="1" x14ac:dyDescent="0.25">
      <c r="A81" s="78"/>
      <c r="B81" s="527"/>
      <c r="C81" s="831"/>
      <c r="D81" s="725">
        <v>45504</v>
      </c>
      <c r="E81" s="337" t="s">
        <v>910</v>
      </c>
      <c r="F81" s="380"/>
      <c r="G81" s="351">
        <v>45385</v>
      </c>
      <c r="H81" s="328"/>
      <c r="I81" s="338" t="s">
        <v>906</v>
      </c>
      <c r="J81" s="335" t="s">
        <v>907</v>
      </c>
      <c r="K81" s="453">
        <v>1</v>
      </c>
      <c r="L81" s="329"/>
      <c r="M81" s="87">
        <f t="shared" si="23"/>
        <v>1</v>
      </c>
      <c r="N81" s="449"/>
      <c r="O81" s="142"/>
      <c r="P81" s="137">
        <f t="shared" si="24"/>
        <v>1</v>
      </c>
      <c r="Q81" s="712"/>
    </row>
    <row r="82" spans="1:17" s="9" customFormat="1" ht="25.5" customHeight="1" x14ac:dyDescent="0.25">
      <c r="A82" s="78"/>
      <c r="B82" s="79"/>
      <c r="C82" s="832"/>
      <c r="D82" s="708">
        <v>45504</v>
      </c>
      <c r="E82" s="337" t="s">
        <v>910</v>
      </c>
      <c r="F82" s="709"/>
      <c r="G82" s="708">
        <v>45385</v>
      </c>
      <c r="H82" s="421"/>
      <c r="I82" s="338" t="s">
        <v>908</v>
      </c>
      <c r="J82" s="335" t="s">
        <v>756</v>
      </c>
      <c r="K82" s="453">
        <v>1</v>
      </c>
      <c r="L82" s="420"/>
      <c r="M82" s="87">
        <f t="shared" si="23"/>
        <v>1</v>
      </c>
      <c r="N82" s="449"/>
      <c r="O82" s="142"/>
      <c r="P82" s="137">
        <f t="shared" si="24"/>
        <v>1</v>
      </c>
      <c r="Q82" s="712"/>
    </row>
    <row r="83" spans="1:17" s="56" customFormat="1" ht="21.75" customHeight="1" x14ac:dyDescent="0.25">
      <c r="A83" s="41"/>
      <c r="B83" s="516" t="s">
        <v>95</v>
      </c>
      <c r="C83" s="639"/>
      <c r="D83" s="44"/>
      <c r="E83" s="45"/>
      <c r="F83" s="46"/>
      <c r="G83" s="47"/>
      <c r="H83" s="460"/>
      <c r="I83" s="49"/>
      <c r="J83" s="50"/>
      <c r="K83" s="51"/>
      <c r="L83" s="461"/>
      <c r="M83" s="54"/>
      <c r="N83" s="55"/>
      <c r="O83" s="461"/>
      <c r="P83" s="54"/>
      <c r="Q83" s="712">
        <f t="shared" si="3"/>
        <v>0</v>
      </c>
    </row>
    <row r="84" spans="1:17" s="9" customFormat="1" ht="25.5" customHeight="1" x14ac:dyDescent="0.25">
      <c r="A84" s="78"/>
      <c r="B84" s="79"/>
      <c r="C84" s="378" t="s">
        <v>903</v>
      </c>
      <c r="D84" s="337">
        <v>45410</v>
      </c>
      <c r="E84" s="365" t="s">
        <v>60</v>
      </c>
      <c r="F84" s="380"/>
      <c r="G84" s="350">
        <v>45379</v>
      </c>
      <c r="H84" s="421"/>
      <c r="I84" s="338" t="s">
        <v>901</v>
      </c>
      <c r="J84" s="335" t="s">
        <v>902</v>
      </c>
      <c r="K84" s="443">
        <v>10</v>
      </c>
      <c r="L84" s="526"/>
      <c r="M84" s="137">
        <f t="shared" ref="M84:M85" si="25">K84</f>
        <v>10</v>
      </c>
      <c r="N84" s="433"/>
      <c r="O84" s="438"/>
      <c r="P84" s="87">
        <f t="shared" ref="P84:P85" si="26">M84-N84</f>
        <v>10</v>
      </c>
      <c r="Q84" s="712">
        <f t="shared" si="3"/>
        <v>0</v>
      </c>
    </row>
    <row r="85" spans="1:17" s="9" customFormat="1" ht="36.75" customHeight="1" x14ac:dyDescent="0.25">
      <c r="A85" s="78"/>
      <c r="B85" s="79"/>
      <c r="C85" s="644" t="s">
        <v>936</v>
      </c>
      <c r="D85" s="552">
        <v>45414</v>
      </c>
      <c r="E85" s="365" t="s">
        <v>60</v>
      </c>
      <c r="F85" s="380"/>
      <c r="G85" s="350">
        <v>45394</v>
      </c>
      <c r="H85" s="421"/>
      <c r="I85" s="338" t="s">
        <v>935</v>
      </c>
      <c r="J85" s="335" t="s">
        <v>844</v>
      </c>
      <c r="K85" s="443">
        <v>7</v>
      </c>
      <c r="L85" s="526"/>
      <c r="M85" s="137">
        <f t="shared" si="25"/>
        <v>7</v>
      </c>
      <c r="N85" s="732"/>
      <c r="O85" s="438"/>
      <c r="P85" s="137">
        <f t="shared" si="26"/>
        <v>7</v>
      </c>
      <c r="Q85" s="712"/>
    </row>
    <row r="86" spans="1:17" s="56" customFormat="1" ht="21" customHeight="1" x14ac:dyDescent="0.25">
      <c r="A86" s="41"/>
      <c r="B86" s="459" t="s">
        <v>588</v>
      </c>
      <c r="C86" s="639"/>
      <c r="D86" s="44"/>
      <c r="E86" s="45"/>
      <c r="F86" s="46"/>
      <c r="G86" s="47"/>
      <c r="H86" s="460"/>
      <c r="I86" s="49"/>
      <c r="J86" s="50"/>
      <c r="K86" s="51"/>
      <c r="L86" s="461"/>
      <c r="M86" s="54"/>
      <c r="N86" s="55"/>
      <c r="O86" s="461"/>
      <c r="P86" s="54"/>
      <c r="Q86" s="712">
        <f t="shared" si="3"/>
        <v>0</v>
      </c>
    </row>
    <row r="87" spans="1:17" s="9" customFormat="1" ht="25.5" customHeight="1" x14ac:dyDescent="0.25">
      <c r="A87" s="78"/>
      <c r="B87" s="379"/>
      <c r="C87" s="828" t="s">
        <v>804</v>
      </c>
      <c r="D87" s="552">
        <v>45407</v>
      </c>
      <c r="E87" s="428" t="s">
        <v>50</v>
      </c>
      <c r="F87" s="702"/>
      <c r="G87" s="351">
        <v>45349</v>
      </c>
      <c r="H87" s="328"/>
      <c r="I87" s="338" t="s">
        <v>792</v>
      </c>
      <c r="J87" s="335" t="s">
        <v>793</v>
      </c>
      <c r="K87" s="443">
        <v>2</v>
      </c>
      <c r="L87" s="458"/>
      <c r="M87" s="137">
        <v>1</v>
      </c>
      <c r="N87" s="164">
        <v>1</v>
      </c>
      <c r="O87" s="438"/>
      <c r="P87" s="87">
        <f t="shared" ref="P87:P91" si="27">M87-N87</f>
        <v>0</v>
      </c>
      <c r="Q87" s="712">
        <f t="shared" si="3"/>
        <v>1</v>
      </c>
    </row>
    <row r="88" spans="1:17" s="9" customFormat="1" ht="25.5" customHeight="1" x14ac:dyDescent="0.25">
      <c r="A88" s="78"/>
      <c r="B88" s="379"/>
      <c r="C88" s="825"/>
      <c r="D88" s="552">
        <v>45407</v>
      </c>
      <c r="E88" s="428" t="s">
        <v>50</v>
      </c>
      <c r="F88" s="702"/>
      <c r="G88" s="351">
        <v>45349</v>
      </c>
      <c r="H88" s="328"/>
      <c r="I88" s="338" t="s">
        <v>794</v>
      </c>
      <c r="J88" s="335" t="s">
        <v>795</v>
      </c>
      <c r="K88" s="443">
        <v>8</v>
      </c>
      <c r="L88" s="458"/>
      <c r="M88" s="137">
        <f t="shared" ref="M88:M89" si="28">K88</f>
        <v>8</v>
      </c>
      <c r="N88" s="164">
        <v>4</v>
      </c>
      <c r="O88" s="438"/>
      <c r="P88" s="87">
        <f t="shared" si="27"/>
        <v>4</v>
      </c>
      <c r="Q88" s="712">
        <f t="shared" si="3"/>
        <v>4</v>
      </c>
    </row>
    <row r="89" spans="1:17" s="9" customFormat="1" ht="25.5" customHeight="1" x14ac:dyDescent="0.25">
      <c r="A89" s="78"/>
      <c r="B89" s="379"/>
      <c r="C89" s="825"/>
      <c r="D89" s="552">
        <v>45407</v>
      </c>
      <c r="E89" s="428" t="s">
        <v>50</v>
      </c>
      <c r="F89" s="702"/>
      <c r="G89" s="351">
        <v>45349</v>
      </c>
      <c r="H89" s="328"/>
      <c r="I89" s="338" t="s">
        <v>796</v>
      </c>
      <c r="J89" s="335" t="s">
        <v>797</v>
      </c>
      <c r="K89" s="443">
        <v>1</v>
      </c>
      <c r="L89" s="458"/>
      <c r="M89" s="137">
        <f t="shared" si="28"/>
        <v>1</v>
      </c>
      <c r="N89" s="164"/>
      <c r="O89" s="438"/>
      <c r="P89" s="87">
        <f t="shared" si="27"/>
        <v>1</v>
      </c>
      <c r="Q89" s="712">
        <f t="shared" si="3"/>
        <v>0</v>
      </c>
    </row>
    <row r="90" spans="1:17" s="9" customFormat="1" ht="25.5" customHeight="1" x14ac:dyDescent="0.25">
      <c r="A90" s="78"/>
      <c r="B90" s="379"/>
      <c r="C90" s="825"/>
      <c r="D90" s="552">
        <v>45407</v>
      </c>
      <c r="E90" s="428" t="s">
        <v>50</v>
      </c>
      <c r="F90" s="702"/>
      <c r="G90" s="351">
        <v>45349</v>
      </c>
      <c r="H90" s="328"/>
      <c r="I90" s="338" t="s">
        <v>798</v>
      </c>
      <c r="J90" s="335" t="s">
        <v>799</v>
      </c>
      <c r="K90" s="443">
        <v>6</v>
      </c>
      <c r="L90" s="458"/>
      <c r="M90" s="137">
        <v>5</v>
      </c>
      <c r="N90" s="164">
        <v>1</v>
      </c>
      <c r="O90" s="438"/>
      <c r="P90" s="87">
        <f t="shared" si="27"/>
        <v>4</v>
      </c>
      <c r="Q90" s="712">
        <f t="shared" si="3"/>
        <v>1</v>
      </c>
    </row>
    <row r="91" spans="1:17" s="9" customFormat="1" ht="31.5" customHeight="1" x14ac:dyDescent="0.25">
      <c r="A91" s="78"/>
      <c r="B91" s="379"/>
      <c r="C91" s="726" t="s">
        <v>914</v>
      </c>
      <c r="D91" s="552" t="s">
        <v>913</v>
      </c>
      <c r="E91" s="428" t="s">
        <v>910</v>
      </c>
      <c r="F91" s="702"/>
      <c r="G91" s="351">
        <v>304</v>
      </c>
      <c r="H91" s="328"/>
      <c r="I91" s="338" t="s">
        <v>911</v>
      </c>
      <c r="J91" s="335" t="s">
        <v>912</v>
      </c>
      <c r="K91" s="443">
        <v>2</v>
      </c>
      <c r="L91" s="458"/>
      <c r="M91" s="137">
        <v>1</v>
      </c>
      <c r="N91" s="164"/>
      <c r="O91" s="438"/>
      <c r="P91" s="87">
        <f t="shared" si="27"/>
        <v>1</v>
      </c>
      <c r="Q91" s="712"/>
    </row>
    <row r="92" spans="1:17" s="56" customFormat="1" ht="17.25" customHeight="1" x14ac:dyDescent="0.25">
      <c r="A92" s="41"/>
      <c r="B92" s="462" t="s">
        <v>82</v>
      </c>
      <c r="C92" s="639"/>
      <c r="D92" s="44"/>
      <c r="E92" s="45"/>
      <c r="F92" s="46"/>
      <c r="G92" s="47"/>
      <c r="H92" s="48"/>
      <c r="I92" s="49"/>
      <c r="J92" s="50"/>
      <c r="K92" s="51"/>
      <c r="L92" s="53"/>
      <c r="M92" s="54"/>
      <c r="N92" s="55"/>
      <c r="O92" s="53"/>
      <c r="P92" s="54"/>
      <c r="Q92" s="712">
        <f t="shared" ref="Q92:Q153" si="29">M92-P92</f>
        <v>0</v>
      </c>
    </row>
    <row r="93" spans="1:17" s="9" customFormat="1" ht="29.25" customHeight="1" x14ac:dyDescent="0.25">
      <c r="A93" s="89"/>
      <c r="B93" s="379"/>
      <c r="C93" s="800" t="s">
        <v>113</v>
      </c>
      <c r="D93" s="519"/>
      <c r="E93" s="428" t="s">
        <v>112</v>
      </c>
      <c r="F93" s="520"/>
      <c r="G93" s="108">
        <v>44755</v>
      </c>
      <c r="H93" s="457"/>
      <c r="I93" s="338" t="s">
        <v>114</v>
      </c>
      <c r="J93" s="335" t="s">
        <v>117</v>
      </c>
      <c r="K93" s="443">
        <v>1</v>
      </c>
      <c r="L93" s="458"/>
      <c r="M93" s="137">
        <f t="shared" ref="M93:M95" si="30">K93</f>
        <v>1</v>
      </c>
      <c r="N93" s="164"/>
      <c r="O93" s="438"/>
      <c r="P93" s="87">
        <f t="shared" ref="P93:P95" si="31">M93-N93</f>
        <v>1</v>
      </c>
      <c r="Q93" s="712">
        <f t="shared" si="29"/>
        <v>0</v>
      </c>
    </row>
    <row r="94" spans="1:17" s="9" customFormat="1" ht="35.25" customHeight="1" x14ac:dyDescent="0.25">
      <c r="A94" s="89"/>
      <c r="B94" s="379"/>
      <c r="C94" s="800"/>
      <c r="D94" s="473"/>
      <c r="E94" s="428" t="s">
        <v>112</v>
      </c>
      <c r="F94" s="456"/>
      <c r="G94" s="390">
        <v>44755</v>
      </c>
      <c r="H94" s="457"/>
      <c r="I94" s="338" t="s">
        <v>115</v>
      </c>
      <c r="J94" s="335" t="s">
        <v>118</v>
      </c>
      <c r="K94" s="443">
        <v>1</v>
      </c>
      <c r="L94" s="458"/>
      <c r="M94" s="137">
        <f t="shared" si="30"/>
        <v>1</v>
      </c>
      <c r="N94" s="164"/>
      <c r="O94" s="438"/>
      <c r="P94" s="87">
        <f t="shared" si="31"/>
        <v>1</v>
      </c>
      <c r="Q94" s="712">
        <f t="shared" si="29"/>
        <v>0</v>
      </c>
    </row>
    <row r="95" spans="1:17" s="9" customFormat="1" ht="37.5" customHeight="1" x14ac:dyDescent="0.25">
      <c r="A95" s="89"/>
      <c r="B95" s="379"/>
      <c r="C95" s="801"/>
      <c r="D95" s="473"/>
      <c r="E95" s="428" t="s">
        <v>112</v>
      </c>
      <c r="F95" s="456"/>
      <c r="G95" s="390">
        <v>44755</v>
      </c>
      <c r="H95" s="457"/>
      <c r="I95" s="338" t="s">
        <v>116</v>
      </c>
      <c r="J95" s="335" t="s">
        <v>119</v>
      </c>
      <c r="K95" s="443">
        <v>1</v>
      </c>
      <c r="L95" s="458"/>
      <c r="M95" s="137">
        <f t="shared" si="30"/>
        <v>1</v>
      </c>
      <c r="N95" s="164"/>
      <c r="O95" s="438"/>
      <c r="P95" s="87">
        <f t="shared" si="31"/>
        <v>1</v>
      </c>
      <c r="Q95" s="712">
        <f t="shared" si="29"/>
        <v>0</v>
      </c>
    </row>
    <row r="96" spans="1:17" s="9" customFormat="1" ht="16.5" customHeight="1" x14ac:dyDescent="0.25">
      <c r="A96" s="97"/>
      <c r="B96" s="369" t="s">
        <v>994</v>
      </c>
      <c r="C96" s="642"/>
      <c r="D96" s="98"/>
      <c r="E96" s="99"/>
      <c r="F96" s="100"/>
      <c r="G96" s="101"/>
      <c r="H96" s="102"/>
      <c r="I96" s="103"/>
      <c r="J96" s="105"/>
      <c r="K96" s="106"/>
      <c r="L96" s="53"/>
      <c r="M96" s="54"/>
      <c r="N96" s="55"/>
      <c r="O96" s="53"/>
      <c r="P96" s="54"/>
      <c r="Q96" s="712">
        <f t="shared" si="29"/>
        <v>0</v>
      </c>
    </row>
    <row r="97" spans="1:17" s="9" customFormat="1" ht="29.25" customHeight="1" x14ac:dyDescent="0.25">
      <c r="A97" s="89"/>
      <c r="B97" s="379"/>
      <c r="C97" s="837" t="s">
        <v>1001</v>
      </c>
      <c r="D97" s="552" t="s">
        <v>999</v>
      </c>
      <c r="E97" s="428" t="s">
        <v>508</v>
      </c>
      <c r="F97" s="520"/>
      <c r="G97" s="108">
        <v>45414</v>
      </c>
      <c r="H97" s="457"/>
      <c r="I97" s="338" t="s">
        <v>995</v>
      </c>
      <c r="J97" s="335" t="s">
        <v>996</v>
      </c>
      <c r="K97" s="443">
        <v>2</v>
      </c>
      <c r="L97" s="458"/>
      <c r="M97" s="137">
        <f t="shared" ref="M97:M98" si="32">K97</f>
        <v>2</v>
      </c>
      <c r="N97" s="164"/>
      <c r="O97" s="438"/>
      <c r="P97" s="87">
        <f t="shared" ref="P97:P98" si="33">M97-N97</f>
        <v>2</v>
      </c>
      <c r="Q97" s="712"/>
    </row>
    <row r="98" spans="1:17" s="9" customFormat="1" ht="29.25" customHeight="1" x14ac:dyDescent="0.25">
      <c r="A98" s="89"/>
      <c r="B98" s="379"/>
      <c r="C98" s="838"/>
      <c r="D98" s="552" t="s">
        <v>1000</v>
      </c>
      <c r="E98" s="428" t="s">
        <v>508</v>
      </c>
      <c r="F98" s="520"/>
      <c r="G98" s="108">
        <v>45414</v>
      </c>
      <c r="H98" s="457"/>
      <c r="I98" s="338" t="s">
        <v>997</v>
      </c>
      <c r="J98" s="335" t="s">
        <v>998</v>
      </c>
      <c r="K98" s="443">
        <v>2</v>
      </c>
      <c r="L98" s="458"/>
      <c r="M98" s="137">
        <f t="shared" si="32"/>
        <v>2</v>
      </c>
      <c r="N98" s="164"/>
      <c r="O98" s="438"/>
      <c r="P98" s="87">
        <f t="shared" si="33"/>
        <v>2</v>
      </c>
      <c r="Q98" s="712"/>
    </row>
    <row r="99" spans="1:17" s="9" customFormat="1" ht="16.5" customHeight="1" x14ac:dyDescent="0.25">
      <c r="A99" s="97"/>
      <c r="B99" s="330" t="s">
        <v>61</v>
      </c>
      <c r="C99" s="642"/>
      <c r="D99" s="98"/>
      <c r="E99" s="99"/>
      <c r="F99" s="569">
        <f>SUM(F100:F100)</f>
        <v>0</v>
      </c>
      <c r="G99" s="101"/>
      <c r="H99" s="102"/>
      <c r="I99" s="103"/>
      <c r="J99" s="105"/>
      <c r="K99" s="106"/>
      <c r="L99" s="111"/>
      <c r="M99" s="112"/>
      <c r="N99" s="52"/>
      <c r="O99" s="111"/>
      <c r="P99" s="52"/>
      <c r="Q99" s="712">
        <f t="shared" si="29"/>
        <v>0</v>
      </c>
    </row>
    <row r="100" spans="1:17" s="1" customFormat="1" ht="41.25" customHeight="1" x14ac:dyDescent="0.25">
      <c r="A100" s="333"/>
      <c r="B100" s="377"/>
      <c r="C100" s="470" t="s">
        <v>418</v>
      </c>
      <c r="D100" s="436">
        <v>45280</v>
      </c>
      <c r="E100" s="428" t="s">
        <v>50</v>
      </c>
      <c r="F100" s="570" t="s">
        <v>505</v>
      </c>
      <c r="G100" s="437">
        <v>44413</v>
      </c>
      <c r="H100" s="421"/>
      <c r="I100" s="338" t="s">
        <v>86</v>
      </c>
      <c r="J100" s="447" t="s">
        <v>526</v>
      </c>
      <c r="K100" s="454">
        <v>40</v>
      </c>
      <c r="L100" s="420"/>
      <c r="M100" s="137">
        <f>K100</f>
        <v>40</v>
      </c>
      <c r="N100" s="442"/>
      <c r="O100" s="438"/>
      <c r="P100" s="87">
        <f t="shared" ref="P100:P121" si="34">M100-N100</f>
        <v>40</v>
      </c>
      <c r="Q100" s="712">
        <f t="shared" si="29"/>
        <v>0</v>
      </c>
    </row>
    <row r="101" spans="1:17" s="9" customFormat="1" ht="30.75" customHeight="1" x14ac:dyDescent="0.25">
      <c r="A101" s="78"/>
      <c r="B101" s="79"/>
      <c r="C101" s="547" t="s">
        <v>418</v>
      </c>
      <c r="D101" s="436">
        <v>45240</v>
      </c>
      <c r="E101" s="428" t="s">
        <v>50</v>
      </c>
      <c r="F101" s="524"/>
      <c r="G101" s="390">
        <v>45182</v>
      </c>
      <c r="H101" s="525"/>
      <c r="I101" s="468" t="s">
        <v>407</v>
      </c>
      <c r="J101" s="335" t="s">
        <v>316</v>
      </c>
      <c r="K101" s="443">
        <v>1</v>
      </c>
      <c r="L101" s="526"/>
      <c r="M101" s="137">
        <f t="shared" ref="M101:M121" si="35">K101</f>
        <v>1</v>
      </c>
      <c r="N101" s="442"/>
      <c r="O101" s="438"/>
      <c r="P101" s="137">
        <f t="shared" si="34"/>
        <v>1</v>
      </c>
      <c r="Q101" s="712">
        <f t="shared" si="29"/>
        <v>0</v>
      </c>
    </row>
    <row r="102" spans="1:17" s="9" customFormat="1" ht="30.75" customHeight="1" x14ac:dyDescent="0.25">
      <c r="A102" s="78"/>
      <c r="B102" s="79"/>
      <c r="C102" s="547" t="s">
        <v>570</v>
      </c>
      <c r="D102" s="436">
        <v>45250</v>
      </c>
      <c r="E102" s="428" t="s">
        <v>50</v>
      </c>
      <c r="F102" s="524"/>
      <c r="G102" s="390">
        <v>45246</v>
      </c>
      <c r="H102" s="525"/>
      <c r="I102" s="468" t="s">
        <v>571</v>
      </c>
      <c r="J102" s="335" t="s">
        <v>569</v>
      </c>
      <c r="K102" s="443">
        <v>2</v>
      </c>
      <c r="L102" s="526"/>
      <c r="M102" s="137">
        <f t="shared" si="35"/>
        <v>2</v>
      </c>
      <c r="N102" s="442"/>
      <c r="O102" s="438"/>
      <c r="P102" s="137">
        <f t="shared" si="34"/>
        <v>2</v>
      </c>
      <c r="Q102" s="712">
        <f t="shared" si="29"/>
        <v>0</v>
      </c>
    </row>
    <row r="103" spans="1:17" s="9" customFormat="1" ht="30.75" customHeight="1" x14ac:dyDescent="0.25">
      <c r="A103" s="78"/>
      <c r="B103" s="79"/>
      <c r="C103" s="547" t="s">
        <v>570</v>
      </c>
      <c r="D103" s="436">
        <v>45250</v>
      </c>
      <c r="E103" s="428" t="s">
        <v>50</v>
      </c>
      <c r="F103" s="524"/>
      <c r="G103" s="390">
        <v>45246</v>
      </c>
      <c r="H103" s="525"/>
      <c r="I103" s="468" t="s">
        <v>572</v>
      </c>
      <c r="J103" s="335" t="s">
        <v>573</v>
      </c>
      <c r="K103" s="443">
        <v>2</v>
      </c>
      <c r="L103" s="526"/>
      <c r="M103" s="137">
        <f t="shared" si="35"/>
        <v>2</v>
      </c>
      <c r="N103" s="442"/>
      <c r="O103" s="438"/>
      <c r="P103" s="137">
        <f t="shared" si="34"/>
        <v>2</v>
      </c>
      <c r="Q103" s="712">
        <f t="shared" si="29"/>
        <v>0</v>
      </c>
    </row>
    <row r="104" spans="1:17" s="9" customFormat="1" ht="26.25" customHeight="1" x14ac:dyDescent="0.25">
      <c r="A104" s="78"/>
      <c r="B104" s="79"/>
      <c r="C104" s="547" t="s">
        <v>575</v>
      </c>
      <c r="D104" s="436">
        <v>44951</v>
      </c>
      <c r="E104" s="428" t="s">
        <v>50</v>
      </c>
      <c r="F104" s="524"/>
      <c r="G104" s="390">
        <v>45250</v>
      </c>
      <c r="H104" s="525"/>
      <c r="I104" s="468" t="s">
        <v>574</v>
      </c>
      <c r="J104" s="335" t="s">
        <v>292</v>
      </c>
      <c r="K104" s="443">
        <v>8</v>
      </c>
      <c r="L104" s="526"/>
      <c r="M104" s="137">
        <v>4</v>
      </c>
      <c r="N104" s="442"/>
      <c r="O104" s="438"/>
      <c r="P104" s="137">
        <f t="shared" si="34"/>
        <v>4</v>
      </c>
      <c r="Q104" s="712">
        <f t="shared" si="29"/>
        <v>0</v>
      </c>
    </row>
    <row r="105" spans="1:17" s="9" customFormat="1" ht="32.25" customHeight="1" x14ac:dyDescent="0.25">
      <c r="A105" s="78"/>
      <c r="B105" s="79"/>
      <c r="C105" s="547" t="s">
        <v>424</v>
      </c>
      <c r="D105" s="436">
        <v>45261</v>
      </c>
      <c r="E105" s="428" t="s">
        <v>50</v>
      </c>
      <c r="F105" s="524"/>
      <c r="G105" s="390">
        <v>45189</v>
      </c>
      <c r="H105" s="525"/>
      <c r="I105" s="468" t="s">
        <v>425</v>
      </c>
      <c r="J105" s="335" t="s">
        <v>315</v>
      </c>
      <c r="K105" s="443">
        <v>8</v>
      </c>
      <c r="L105" s="526"/>
      <c r="M105" s="137">
        <f t="shared" si="35"/>
        <v>8</v>
      </c>
      <c r="N105" s="442"/>
      <c r="O105" s="438"/>
      <c r="P105" s="137">
        <f t="shared" si="34"/>
        <v>8</v>
      </c>
      <c r="Q105" s="712">
        <f t="shared" si="29"/>
        <v>0</v>
      </c>
    </row>
    <row r="106" spans="1:17" s="9" customFormat="1" ht="32.25" customHeight="1" x14ac:dyDescent="0.25">
      <c r="A106" s="78"/>
      <c r="B106" s="79"/>
      <c r="C106" s="514" t="s">
        <v>309</v>
      </c>
      <c r="D106" s="436">
        <v>45117</v>
      </c>
      <c r="E106" s="428" t="s">
        <v>50</v>
      </c>
      <c r="F106" s="524"/>
      <c r="G106" s="390">
        <v>45086</v>
      </c>
      <c r="H106" s="525"/>
      <c r="I106" s="468" t="s">
        <v>293</v>
      </c>
      <c r="J106" s="335" t="s">
        <v>292</v>
      </c>
      <c r="K106" s="443">
        <v>4</v>
      </c>
      <c r="L106" s="526"/>
      <c r="M106" s="137">
        <f t="shared" si="35"/>
        <v>4</v>
      </c>
      <c r="N106" s="442"/>
      <c r="O106" s="438"/>
      <c r="P106" s="137">
        <f t="shared" si="34"/>
        <v>4</v>
      </c>
      <c r="Q106" s="712">
        <f t="shared" si="29"/>
        <v>0</v>
      </c>
    </row>
    <row r="107" spans="1:17" s="9" customFormat="1" ht="39.75" customHeight="1" x14ac:dyDescent="0.25">
      <c r="A107" s="78"/>
      <c r="B107" s="79"/>
      <c r="C107" s="804" t="s">
        <v>964</v>
      </c>
      <c r="D107" s="436"/>
      <c r="E107" s="428" t="s">
        <v>50</v>
      </c>
      <c r="F107" s="524"/>
      <c r="G107" s="390">
        <v>45397</v>
      </c>
      <c r="H107" s="525"/>
      <c r="I107" s="468" t="s">
        <v>948</v>
      </c>
      <c r="J107" s="335" t="s">
        <v>937</v>
      </c>
      <c r="K107" s="443">
        <v>1</v>
      </c>
      <c r="L107" s="526"/>
      <c r="M107" s="137">
        <f t="shared" si="35"/>
        <v>1</v>
      </c>
      <c r="N107" s="442"/>
      <c r="O107" s="438"/>
      <c r="P107" s="137">
        <f t="shared" si="34"/>
        <v>1</v>
      </c>
      <c r="Q107" s="712"/>
    </row>
    <row r="108" spans="1:17" s="9" customFormat="1" ht="38.25" customHeight="1" x14ac:dyDescent="0.25">
      <c r="A108" s="78"/>
      <c r="B108" s="79"/>
      <c r="C108" s="805"/>
      <c r="D108" s="436"/>
      <c r="E108" s="428" t="s">
        <v>50</v>
      </c>
      <c r="F108" s="524"/>
      <c r="G108" s="390">
        <v>45397</v>
      </c>
      <c r="H108" s="525"/>
      <c r="I108" s="468" t="s">
        <v>949</v>
      </c>
      <c r="J108" s="335" t="s">
        <v>941</v>
      </c>
      <c r="K108" s="443">
        <v>1</v>
      </c>
      <c r="L108" s="526"/>
      <c r="M108" s="137">
        <f t="shared" si="35"/>
        <v>1</v>
      </c>
      <c r="N108" s="442">
        <v>1</v>
      </c>
      <c r="O108" s="438"/>
      <c r="P108" s="137">
        <f t="shared" si="34"/>
        <v>0</v>
      </c>
      <c r="Q108" s="712"/>
    </row>
    <row r="109" spans="1:17" s="9" customFormat="1" ht="32.25" customHeight="1" x14ac:dyDescent="0.25">
      <c r="A109" s="78"/>
      <c r="B109" s="79"/>
      <c r="C109" s="805"/>
      <c r="D109" s="436"/>
      <c r="E109" s="428" t="s">
        <v>50</v>
      </c>
      <c r="F109" s="524"/>
      <c r="G109" s="390">
        <v>45397</v>
      </c>
      <c r="H109" s="525"/>
      <c r="I109" s="468" t="s">
        <v>950</v>
      </c>
      <c r="J109" s="335" t="s">
        <v>941</v>
      </c>
      <c r="K109" s="443">
        <v>1</v>
      </c>
      <c r="L109" s="526"/>
      <c r="M109" s="137">
        <f t="shared" si="35"/>
        <v>1</v>
      </c>
      <c r="N109" s="442">
        <v>1</v>
      </c>
      <c r="O109" s="438"/>
      <c r="P109" s="137">
        <f t="shared" si="34"/>
        <v>0</v>
      </c>
      <c r="Q109" s="712"/>
    </row>
    <row r="110" spans="1:17" s="9" customFormat="1" ht="33.75" customHeight="1" x14ac:dyDescent="0.25">
      <c r="A110" s="78"/>
      <c r="B110" s="79"/>
      <c r="C110" s="805"/>
      <c r="D110" s="436"/>
      <c r="E110" s="428" t="s">
        <v>50</v>
      </c>
      <c r="F110" s="524"/>
      <c r="G110" s="390">
        <v>45397</v>
      </c>
      <c r="H110" s="525"/>
      <c r="I110" s="468" t="s">
        <v>951</v>
      </c>
      <c r="J110" s="335" t="s">
        <v>942</v>
      </c>
      <c r="K110" s="443">
        <v>2</v>
      </c>
      <c r="L110" s="526"/>
      <c r="M110" s="137">
        <f t="shared" si="35"/>
        <v>2</v>
      </c>
      <c r="N110" s="442"/>
      <c r="O110" s="438"/>
      <c r="P110" s="137">
        <f t="shared" si="34"/>
        <v>2</v>
      </c>
      <c r="Q110" s="712"/>
    </row>
    <row r="111" spans="1:17" s="9" customFormat="1" ht="44.25" customHeight="1" x14ac:dyDescent="0.25">
      <c r="A111" s="78"/>
      <c r="B111" s="79"/>
      <c r="C111" s="805"/>
      <c r="D111" s="436"/>
      <c r="E111" s="428" t="s">
        <v>50</v>
      </c>
      <c r="F111" s="524"/>
      <c r="G111" s="390">
        <v>45397</v>
      </c>
      <c r="H111" s="525"/>
      <c r="I111" s="468" t="s">
        <v>952</v>
      </c>
      <c r="J111" s="335" t="s">
        <v>943</v>
      </c>
      <c r="K111" s="443">
        <v>2</v>
      </c>
      <c r="L111" s="526"/>
      <c r="M111" s="137">
        <f t="shared" si="35"/>
        <v>2</v>
      </c>
      <c r="N111" s="442"/>
      <c r="O111" s="438"/>
      <c r="P111" s="137">
        <f t="shared" si="34"/>
        <v>2</v>
      </c>
      <c r="Q111" s="712"/>
    </row>
    <row r="112" spans="1:17" s="9" customFormat="1" ht="39" customHeight="1" x14ac:dyDescent="0.25">
      <c r="A112" s="78"/>
      <c r="B112" s="79"/>
      <c r="C112" s="805"/>
      <c r="D112" s="436"/>
      <c r="E112" s="428" t="s">
        <v>50</v>
      </c>
      <c r="F112" s="524"/>
      <c r="G112" s="390">
        <v>45397</v>
      </c>
      <c r="H112" s="525"/>
      <c r="I112" s="468" t="s">
        <v>953</v>
      </c>
      <c r="J112" s="335" t="s">
        <v>944</v>
      </c>
      <c r="K112" s="443">
        <v>6</v>
      </c>
      <c r="L112" s="526"/>
      <c r="M112" s="137">
        <f t="shared" si="35"/>
        <v>6</v>
      </c>
      <c r="N112" s="442"/>
      <c r="O112" s="438"/>
      <c r="P112" s="137">
        <f t="shared" si="34"/>
        <v>6</v>
      </c>
      <c r="Q112" s="712"/>
    </row>
    <row r="113" spans="1:17" s="9" customFormat="1" ht="45.75" customHeight="1" x14ac:dyDescent="0.25">
      <c r="A113" s="78"/>
      <c r="B113" s="79"/>
      <c r="C113" s="805"/>
      <c r="D113" s="436"/>
      <c r="E113" s="428" t="s">
        <v>50</v>
      </c>
      <c r="F113" s="524"/>
      <c r="G113" s="390">
        <v>45397</v>
      </c>
      <c r="H113" s="525"/>
      <c r="I113" s="468" t="s">
        <v>953</v>
      </c>
      <c r="J113" s="335" t="s">
        <v>944</v>
      </c>
      <c r="K113" s="443">
        <v>6</v>
      </c>
      <c r="L113" s="526"/>
      <c r="M113" s="137">
        <f t="shared" si="35"/>
        <v>6</v>
      </c>
      <c r="N113" s="442"/>
      <c r="O113" s="438"/>
      <c r="P113" s="137">
        <f t="shared" si="34"/>
        <v>6</v>
      </c>
      <c r="Q113" s="712"/>
    </row>
    <row r="114" spans="1:17" s="9" customFormat="1" ht="21" customHeight="1" x14ac:dyDescent="0.25">
      <c r="A114" s="78"/>
      <c r="B114" s="79"/>
      <c r="C114" s="805"/>
      <c r="D114" s="436"/>
      <c r="E114" s="428" t="s">
        <v>50</v>
      </c>
      <c r="F114" s="524"/>
      <c r="G114" s="390">
        <v>45397</v>
      </c>
      <c r="H114" s="525"/>
      <c r="I114" s="468" t="s">
        <v>954</v>
      </c>
      <c r="J114" s="335" t="s">
        <v>938</v>
      </c>
      <c r="K114" s="443">
        <v>15</v>
      </c>
      <c r="L114" s="526"/>
      <c r="M114" s="137">
        <f t="shared" si="35"/>
        <v>15</v>
      </c>
      <c r="N114" s="442"/>
      <c r="O114" s="438"/>
      <c r="P114" s="137">
        <f t="shared" si="34"/>
        <v>15</v>
      </c>
      <c r="Q114" s="712"/>
    </row>
    <row r="115" spans="1:17" s="9" customFormat="1" ht="25.5" customHeight="1" x14ac:dyDescent="0.25">
      <c r="A115" s="78"/>
      <c r="B115" s="79"/>
      <c r="C115" s="805"/>
      <c r="D115" s="436"/>
      <c r="E115" s="428" t="s">
        <v>50</v>
      </c>
      <c r="F115" s="524"/>
      <c r="G115" s="390">
        <v>45397</v>
      </c>
      <c r="H115" s="525"/>
      <c r="I115" s="468" t="s">
        <v>955</v>
      </c>
      <c r="J115" s="335" t="s">
        <v>939</v>
      </c>
      <c r="K115" s="443">
        <v>5</v>
      </c>
      <c r="L115" s="526"/>
      <c r="M115" s="137">
        <f t="shared" si="35"/>
        <v>5</v>
      </c>
      <c r="N115" s="442">
        <v>5</v>
      </c>
      <c r="O115" s="438"/>
      <c r="P115" s="137">
        <f t="shared" si="34"/>
        <v>0</v>
      </c>
      <c r="Q115" s="712"/>
    </row>
    <row r="116" spans="1:17" s="9" customFormat="1" ht="66" customHeight="1" x14ac:dyDescent="0.25">
      <c r="A116" s="78"/>
      <c r="B116" s="79"/>
      <c r="C116" s="805"/>
      <c r="D116" s="436"/>
      <c r="E116" s="428" t="s">
        <v>50</v>
      </c>
      <c r="F116" s="524"/>
      <c r="G116" s="390">
        <v>45397</v>
      </c>
      <c r="H116" s="525"/>
      <c r="I116" s="468" t="s">
        <v>956</v>
      </c>
      <c r="J116" s="734" t="s">
        <v>940</v>
      </c>
      <c r="K116" s="443">
        <v>1</v>
      </c>
      <c r="L116" s="526"/>
      <c r="M116" s="137">
        <f t="shared" si="35"/>
        <v>1</v>
      </c>
      <c r="N116" s="442"/>
      <c r="O116" s="438"/>
      <c r="P116" s="137">
        <f t="shared" si="34"/>
        <v>1</v>
      </c>
      <c r="Q116" s="712"/>
    </row>
    <row r="117" spans="1:17" s="9" customFormat="1" ht="56.25" customHeight="1" x14ac:dyDescent="0.25">
      <c r="A117" s="78"/>
      <c r="B117" s="79"/>
      <c r="C117" s="805"/>
      <c r="D117" s="436"/>
      <c r="E117" s="428" t="s">
        <v>50</v>
      </c>
      <c r="F117" s="524"/>
      <c r="G117" s="390">
        <v>45397</v>
      </c>
      <c r="H117" s="525"/>
      <c r="I117" s="468" t="s">
        <v>957</v>
      </c>
      <c r="J117" s="335" t="s">
        <v>945</v>
      </c>
      <c r="K117" s="443">
        <v>1</v>
      </c>
      <c r="L117" s="526"/>
      <c r="M117" s="137">
        <f t="shared" si="35"/>
        <v>1</v>
      </c>
      <c r="N117" s="442"/>
      <c r="O117" s="438"/>
      <c r="P117" s="137">
        <f t="shared" si="34"/>
        <v>1</v>
      </c>
      <c r="Q117" s="712"/>
    </row>
    <row r="118" spans="1:17" s="9" customFormat="1" ht="66" customHeight="1" x14ac:dyDescent="0.25">
      <c r="A118" s="78"/>
      <c r="B118" s="79"/>
      <c r="C118" s="805"/>
      <c r="D118" s="436"/>
      <c r="E118" s="428" t="s">
        <v>50</v>
      </c>
      <c r="F118" s="524"/>
      <c r="G118" s="390">
        <v>45397</v>
      </c>
      <c r="H118" s="525"/>
      <c r="I118" s="468" t="s">
        <v>958</v>
      </c>
      <c r="J118" s="734" t="s">
        <v>946</v>
      </c>
      <c r="K118" s="443">
        <v>1</v>
      </c>
      <c r="L118" s="526"/>
      <c r="M118" s="137">
        <f t="shared" si="35"/>
        <v>1</v>
      </c>
      <c r="N118" s="442"/>
      <c r="O118" s="438"/>
      <c r="P118" s="137">
        <f t="shared" si="34"/>
        <v>1</v>
      </c>
      <c r="Q118" s="712"/>
    </row>
    <row r="119" spans="1:17" s="9" customFormat="1" ht="53.25" customHeight="1" x14ac:dyDescent="0.25">
      <c r="A119" s="78"/>
      <c r="B119" s="79"/>
      <c r="C119" s="805"/>
      <c r="D119" s="436"/>
      <c r="E119" s="428" t="s">
        <v>50</v>
      </c>
      <c r="F119" s="524"/>
      <c r="G119" s="390">
        <v>45397</v>
      </c>
      <c r="H119" s="525"/>
      <c r="I119" s="468" t="s">
        <v>959</v>
      </c>
      <c r="J119" s="335" t="s">
        <v>963</v>
      </c>
      <c r="K119" s="443">
        <v>15</v>
      </c>
      <c r="L119" s="526"/>
      <c r="M119" s="137">
        <f t="shared" si="35"/>
        <v>15</v>
      </c>
      <c r="N119" s="442"/>
      <c r="O119" s="438"/>
      <c r="P119" s="137">
        <f t="shared" si="34"/>
        <v>15</v>
      </c>
      <c r="Q119" s="712"/>
    </row>
    <row r="120" spans="1:17" s="9" customFormat="1" ht="42.75" customHeight="1" x14ac:dyDescent="0.25">
      <c r="A120" s="78"/>
      <c r="B120" s="79"/>
      <c r="C120" s="805"/>
      <c r="D120" s="436"/>
      <c r="E120" s="428" t="s">
        <v>50</v>
      </c>
      <c r="F120" s="524"/>
      <c r="G120" s="390">
        <v>45397</v>
      </c>
      <c r="H120" s="525"/>
      <c r="I120" s="468" t="s">
        <v>960</v>
      </c>
      <c r="J120" s="335" t="s">
        <v>962</v>
      </c>
      <c r="K120" s="443">
        <v>1</v>
      </c>
      <c r="L120" s="526"/>
      <c r="M120" s="137">
        <f t="shared" si="35"/>
        <v>1</v>
      </c>
      <c r="N120" s="442">
        <v>1</v>
      </c>
      <c r="O120" s="438"/>
      <c r="P120" s="137">
        <f t="shared" si="34"/>
        <v>0</v>
      </c>
      <c r="Q120" s="712"/>
    </row>
    <row r="121" spans="1:17" s="9" customFormat="1" ht="46.5" customHeight="1" x14ac:dyDescent="0.25">
      <c r="A121" s="78"/>
      <c r="B121" s="79"/>
      <c r="C121" s="806"/>
      <c r="D121" s="436"/>
      <c r="E121" s="428" t="s">
        <v>50</v>
      </c>
      <c r="F121" s="524"/>
      <c r="G121" s="390">
        <v>45397</v>
      </c>
      <c r="H121" s="525"/>
      <c r="I121" s="468" t="s">
        <v>961</v>
      </c>
      <c r="J121" s="335" t="s">
        <v>947</v>
      </c>
      <c r="K121" s="443">
        <v>200</v>
      </c>
      <c r="L121" s="526"/>
      <c r="M121" s="137">
        <f t="shared" si="35"/>
        <v>200</v>
      </c>
      <c r="N121" s="442"/>
      <c r="O121" s="438"/>
      <c r="P121" s="137">
        <f t="shared" si="34"/>
        <v>200</v>
      </c>
      <c r="Q121" s="712"/>
    </row>
    <row r="122" spans="1:17" s="56" customFormat="1" ht="15" x14ac:dyDescent="0.25">
      <c r="A122" s="41"/>
      <c r="B122" s="334" t="s">
        <v>895</v>
      </c>
      <c r="C122" s="640"/>
      <c r="D122" s="44"/>
      <c r="E122" s="45"/>
      <c r="F122" s="46"/>
      <c r="G122" s="47"/>
      <c r="H122" s="48"/>
      <c r="I122" s="49"/>
      <c r="J122" s="50"/>
      <c r="K122" s="51"/>
      <c r="L122" s="53"/>
      <c r="M122" s="54"/>
      <c r="N122" s="55"/>
      <c r="O122" s="53"/>
      <c r="P122" s="54"/>
      <c r="Q122" s="712">
        <f t="shared" si="29"/>
        <v>0</v>
      </c>
    </row>
    <row r="123" spans="1:17" s="9" customFormat="1" ht="33.75" customHeight="1" x14ac:dyDescent="0.25">
      <c r="A123" s="89"/>
      <c r="B123" s="379"/>
      <c r="C123" s="795" t="s">
        <v>900</v>
      </c>
      <c r="D123" s="455">
        <v>45534</v>
      </c>
      <c r="E123" s="428" t="s">
        <v>60</v>
      </c>
      <c r="F123" s="456"/>
      <c r="G123" s="331">
        <v>45380</v>
      </c>
      <c r="H123" s="457"/>
      <c r="I123" s="468" t="s">
        <v>896</v>
      </c>
      <c r="J123" s="335" t="s">
        <v>897</v>
      </c>
      <c r="K123" s="443">
        <v>1</v>
      </c>
      <c r="L123" s="458"/>
      <c r="M123" s="137">
        <f t="shared" ref="M123:M124" si="36">K123</f>
        <v>1</v>
      </c>
      <c r="N123" s="433"/>
      <c r="O123" s="438"/>
      <c r="P123" s="87">
        <f t="shared" ref="P123:P124" si="37">M123-N123</f>
        <v>1</v>
      </c>
      <c r="Q123" s="712"/>
    </row>
    <row r="124" spans="1:17" s="9" customFormat="1" ht="33.75" customHeight="1" x14ac:dyDescent="0.25">
      <c r="A124" s="89"/>
      <c r="B124" s="379"/>
      <c r="C124" s="796"/>
      <c r="D124" s="455">
        <v>45534</v>
      </c>
      <c r="E124" s="428" t="s">
        <v>60</v>
      </c>
      <c r="F124" s="456"/>
      <c r="G124" s="331">
        <v>45380</v>
      </c>
      <c r="H124" s="457"/>
      <c r="I124" s="468" t="s">
        <v>898</v>
      </c>
      <c r="J124" s="335" t="s">
        <v>899</v>
      </c>
      <c r="K124" s="443">
        <v>4</v>
      </c>
      <c r="L124" s="458"/>
      <c r="M124" s="137">
        <f t="shared" si="36"/>
        <v>4</v>
      </c>
      <c r="N124" s="433"/>
      <c r="O124" s="438"/>
      <c r="P124" s="87">
        <f t="shared" si="37"/>
        <v>4</v>
      </c>
      <c r="Q124" s="712"/>
    </row>
    <row r="125" spans="1:17" s="56" customFormat="1" ht="18" customHeight="1" x14ac:dyDescent="0.25">
      <c r="A125" s="41"/>
      <c r="B125" s="330" t="s">
        <v>871</v>
      </c>
      <c r="C125" s="642"/>
      <c r="D125" s="44"/>
      <c r="E125" s="45"/>
      <c r="F125" s="46"/>
      <c r="G125" s="47"/>
      <c r="H125" s="48"/>
      <c r="I125" s="49"/>
      <c r="J125" s="50"/>
      <c r="K125" s="51"/>
      <c r="L125" s="53"/>
      <c r="M125" s="49"/>
      <c r="N125" s="55"/>
      <c r="O125" s="53"/>
      <c r="P125" s="54"/>
      <c r="Q125" s="712">
        <f t="shared" si="29"/>
        <v>0</v>
      </c>
    </row>
    <row r="126" spans="1:17" s="9" customFormat="1" ht="33.75" customHeight="1" x14ac:dyDescent="0.25">
      <c r="A126" s="89"/>
      <c r="B126" s="379"/>
      <c r="C126" s="711" t="s">
        <v>872</v>
      </c>
      <c r="D126" s="717">
        <v>45494</v>
      </c>
      <c r="E126" s="428" t="s">
        <v>103</v>
      </c>
      <c r="F126" s="456"/>
      <c r="G126" s="331">
        <v>45373</v>
      </c>
      <c r="H126" s="457"/>
      <c r="I126" s="338" t="s">
        <v>873</v>
      </c>
      <c r="J126" s="335" t="s">
        <v>874</v>
      </c>
      <c r="K126" s="443">
        <v>1</v>
      </c>
      <c r="L126" s="458"/>
      <c r="M126" s="137">
        <f t="shared" ref="M126" si="38">K126</f>
        <v>1</v>
      </c>
      <c r="N126" s="433"/>
      <c r="O126" s="438"/>
      <c r="P126" s="87">
        <f t="shared" ref="P126" si="39">M126-N126</f>
        <v>1</v>
      </c>
      <c r="Q126" s="712">
        <f t="shared" si="29"/>
        <v>0</v>
      </c>
    </row>
    <row r="127" spans="1:17" s="56" customFormat="1" ht="15" x14ac:dyDescent="0.25">
      <c r="A127" s="41"/>
      <c r="B127" s="369" t="s">
        <v>467</v>
      </c>
      <c r="C127" s="640"/>
      <c r="D127" s="44"/>
      <c r="E127" s="45"/>
      <c r="F127" s="46"/>
      <c r="G127" s="47"/>
      <c r="H127" s="48"/>
      <c r="I127" s="49"/>
      <c r="J127" s="50"/>
      <c r="K127" s="51"/>
      <c r="L127" s="53"/>
      <c r="M127" s="54"/>
      <c r="N127" s="55"/>
      <c r="O127" s="53"/>
      <c r="P127" s="54"/>
      <c r="Q127" s="712">
        <f t="shared" si="29"/>
        <v>0</v>
      </c>
    </row>
    <row r="128" spans="1:17" s="9" customFormat="1" ht="33.75" customHeight="1" x14ac:dyDescent="0.25">
      <c r="A128" s="89"/>
      <c r="B128" s="379"/>
      <c r="C128" s="711" t="s">
        <v>578</v>
      </c>
      <c r="D128" s="455">
        <v>45371</v>
      </c>
      <c r="E128" s="428" t="s">
        <v>50</v>
      </c>
      <c r="F128" s="456"/>
      <c r="G128" s="83">
        <v>45251</v>
      </c>
      <c r="H128" s="457"/>
      <c r="I128" s="338" t="s">
        <v>579</v>
      </c>
      <c r="J128" s="335" t="s">
        <v>580</v>
      </c>
      <c r="K128" s="443">
        <v>4</v>
      </c>
      <c r="L128" s="458"/>
      <c r="M128" s="137">
        <f t="shared" ref="M128" si="40">K128</f>
        <v>4</v>
      </c>
      <c r="N128" s="433"/>
      <c r="O128" s="438"/>
      <c r="P128" s="87">
        <f t="shared" ref="P128" si="41">M128-N128</f>
        <v>4</v>
      </c>
      <c r="Q128" s="712">
        <f t="shared" si="29"/>
        <v>0</v>
      </c>
    </row>
    <row r="129" spans="1:18" s="9" customFormat="1" ht="17.25" customHeight="1" x14ac:dyDescent="0.25">
      <c r="A129" s="97"/>
      <c r="B129" s="334" t="s">
        <v>53</v>
      </c>
      <c r="C129" s="642"/>
      <c r="D129" s="98"/>
      <c r="E129" s="99"/>
      <c r="F129" s="569">
        <f>SUM(F130:F163)</f>
        <v>0</v>
      </c>
      <c r="G129" s="101"/>
      <c r="H129" s="102"/>
      <c r="I129" s="103"/>
      <c r="J129" s="105"/>
      <c r="K129" s="106"/>
      <c r="L129" s="53"/>
      <c r="M129" s="54"/>
      <c r="N129" s="55"/>
      <c r="O129" s="53"/>
      <c r="P129" s="54"/>
      <c r="Q129" s="712">
        <f t="shared" si="29"/>
        <v>0</v>
      </c>
    </row>
    <row r="130" spans="1:18" s="9" customFormat="1" ht="33.75" customHeight="1" x14ac:dyDescent="0.25">
      <c r="A130" s="89"/>
      <c r="B130" s="379"/>
      <c r="C130" s="534" t="s">
        <v>158</v>
      </c>
      <c r="D130" s="455">
        <v>45066</v>
      </c>
      <c r="E130" s="428" t="s">
        <v>50</v>
      </c>
      <c r="F130" s="456"/>
      <c r="G130" s="83">
        <v>44907</v>
      </c>
      <c r="H130" s="457"/>
      <c r="I130" s="338" t="s">
        <v>157</v>
      </c>
      <c r="J130" s="335" t="s">
        <v>154</v>
      </c>
      <c r="K130" s="443">
        <v>15</v>
      </c>
      <c r="L130" s="458"/>
      <c r="M130" s="137">
        <v>13</v>
      </c>
      <c r="N130" s="433"/>
      <c r="O130" s="438"/>
      <c r="P130" s="87">
        <f t="shared" ref="P130:P168" si="42">M130-N130</f>
        <v>13</v>
      </c>
      <c r="Q130" s="712">
        <f t="shared" si="29"/>
        <v>0</v>
      </c>
    </row>
    <row r="131" spans="1:18" s="9" customFormat="1" ht="29.25" customHeight="1" x14ac:dyDescent="0.25">
      <c r="A131" s="89"/>
      <c r="B131" s="379"/>
      <c r="C131" s="509" t="s">
        <v>304</v>
      </c>
      <c r="D131" s="455">
        <v>45283</v>
      </c>
      <c r="E131" s="428" t="s">
        <v>50</v>
      </c>
      <c r="F131" s="520"/>
      <c r="G131" s="83">
        <v>45100</v>
      </c>
      <c r="H131" s="457"/>
      <c r="I131" s="338" t="s">
        <v>306</v>
      </c>
      <c r="J131" s="335" t="s">
        <v>305</v>
      </c>
      <c r="K131" s="443">
        <v>1</v>
      </c>
      <c r="L131" s="458"/>
      <c r="M131" s="137">
        <f t="shared" ref="M131:M168" si="43">K131</f>
        <v>1</v>
      </c>
      <c r="N131" s="433"/>
      <c r="O131" s="438"/>
      <c r="P131" s="87">
        <f t="shared" si="42"/>
        <v>1</v>
      </c>
      <c r="Q131" s="712">
        <f t="shared" si="29"/>
        <v>0</v>
      </c>
    </row>
    <row r="132" spans="1:18" s="9" customFormat="1" ht="28.5" customHeight="1" x14ac:dyDescent="0.25">
      <c r="A132" s="89"/>
      <c r="B132" s="379"/>
      <c r="C132" s="510" t="s">
        <v>330</v>
      </c>
      <c r="D132" s="455">
        <v>45277</v>
      </c>
      <c r="E132" s="428" t="s">
        <v>50</v>
      </c>
      <c r="F132" s="520"/>
      <c r="G132" s="83">
        <v>45124</v>
      </c>
      <c r="H132" s="457"/>
      <c r="I132" s="338" t="s">
        <v>333</v>
      </c>
      <c r="J132" s="335" t="s">
        <v>168</v>
      </c>
      <c r="K132" s="443">
        <v>1</v>
      </c>
      <c r="L132" s="458"/>
      <c r="M132" s="137">
        <f t="shared" si="43"/>
        <v>1</v>
      </c>
      <c r="N132" s="433"/>
      <c r="O132" s="438"/>
      <c r="P132" s="87">
        <f t="shared" si="42"/>
        <v>1</v>
      </c>
      <c r="Q132" s="712">
        <f t="shared" si="29"/>
        <v>0</v>
      </c>
      <c r="R132" s="1" t="s">
        <v>1</v>
      </c>
    </row>
    <row r="133" spans="1:18" s="9" customFormat="1" ht="28.5" customHeight="1" x14ac:dyDescent="0.25">
      <c r="A133" s="89"/>
      <c r="B133" s="379"/>
      <c r="C133" s="760" t="s">
        <v>334</v>
      </c>
      <c r="D133" s="455">
        <v>45278</v>
      </c>
      <c r="E133" s="428" t="s">
        <v>50</v>
      </c>
      <c r="F133" s="520"/>
      <c r="G133" s="83">
        <v>45124</v>
      </c>
      <c r="H133" s="457"/>
      <c r="I133" s="338" t="s">
        <v>337</v>
      </c>
      <c r="J133" s="335" t="s">
        <v>335</v>
      </c>
      <c r="K133" s="443">
        <v>1</v>
      </c>
      <c r="L133" s="458"/>
      <c r="M133" s="137">
        <f t="shared" si="43"/>
        <v>1</v>
      </c>
      <c r="N133" s="433"/>
      <c r="O133" s="438"/>
      <c r="P133" s="87">
        <f t="shared" si="42"/>
        <v>1</v>
      </c>
      <c r="Q133" s="712">
        <f t="shared" si="29"/>
        <v>0</v>
      </c>
    </row>
    <row r="134" spans="1:18" s="9" customFormat="1" ht="33" customHeight="1" x14ac:dyDescent="0.25">
      <c r="A134" s="89"/>
      <c r="B134" s="379"/>
      <c r="C134" s="810" t="s">
        <v>380</v>
      </c>
      <c r="D134" s="455">
        <v>45276</v>
      </c>
      <c r="E134" s="428" t="s">
        <v>50</v>
      </c>
      <c r="F134" s="520"/>
      <c r="G134" s="83">
        <v>45154</v>
      </c>
      <c r="H134" s="457"/>
      <c r="I134" s="338" t="s">
        <v>376</v>
      </c>
      <c r="J134" s="335" t="s">
        <v>372</v>
      </c>
      <c r="K134" s="443">
        <v>1</v>
      </c>
      <c r="L134" s="458"/>
      <c r="M134" s="137">
        <f t="shared" si="43"/>
        <v>1</v>
      </c>
      <c r="N134" s="433"/>
      <c r="O134" s="438"/>
      <c r="P134" s="87">
        <f t="shared" si="42"/>
        <v>1</v>
      </c>
      <c r="Q134" s="712">
        <f t="shared" si="29"/>
        <v>0</v>
      </c>
    </row>
    <row r="135" spans="1:18" s="9" customFormat="1" ht="33" customHeight="1" x14ac:dyDescent="0.25">
      <c r="A135" s="89"/>
      <c r="B135" s="379"/>
      <c r="C135" s="813"/>
      <c r="D135" s="455">
        <v>45276</v>
      </c>
      <c r="E135" s="428" t="s">
        <v>50</v>
      </c>
      <c r="F135" s="520"/>
      <c r="G135" s="83">
        <v>45154</v>
      </c>
      <c r="H135" s="457"/>
      <c r="I135" s="338" t="s">
        <v>377</v>
      </c>
      <c r="J135" s="335" t="s">
        <v>373</v>
      </c>
      <c r="K135" s="443">
        <v>1</v>
      </c>
      <c r="L135" s="458"/>
      <c r="M135" s="137">
        <f t="shared" si="43"/>
        <v>1</v>
      </c>
      <c r="N135" s="433"/>
      <c r="O135" s="438"/>
      <c r="P135" s="87">
        <f t="shared" si="42"/>
        <v>1</v>
      </c>
      <c r="Q135" s="712">
        <f t="shared" si="29"/>
        <v>0</v>
      </c>
    </row>
    <row r="136" spans="1:18" s="9" customFormat="1" ht="33" customHeight="1" x14ac:dyDescent="0.25">
      <c r="A136" s="89"/>
      <c r="B136" s="379"/>
      <c r="C136" s="811"/>
      <c r="D136" s="455">
        <v>45276</v>
      </c>
      <c r="E136" s="428" t="s">
        <v>50</v>
      </c>
      <c r="F136" s="520"/>
      <c r="G136" s="83">
        <v>45154</v>
      </c>
      <c r="H136" s="457"/>
      <c r="I136" s="338" t="s">
        <v>378</v>
      </c>
      <c r="J136" s="335" t="s">
        <v>374</v>
      </c>
      <c r="K136" s="443">
        <v>2</v>
      </c>
      <c r="L136" s="458"/>
      <c r="M136" s="137">
        <f t="shared" si="43"/>
        <v>2</v>
      </c>
      <c r="N136" s="433"/>
      <c r="O136" s="438"/>
      <c r="P136" s="87">
        <f t="shared" si="42"/>
        <v>2</v>
      </c>
      <c r="Q136" s="712">
        <f t="shared" si="29"/>
        <v>0</v>
      </c>
    </row>
    <row r="137" spans="1:18" s="9" customFormat="1" ht="33" customHeight="1" x14ac:dyDescent="0.25">
      <c r="A137" s="89"/>
      <c r="B137" s="379"/>
      <c r="C137" s="554" t="s">
        <v>726</v>
      </c>
      <c r="D137" s="455">
        <v>45495</v>
      </c>
      <c r="E137" s="428" t="s">
        <v>50</v>
      </c>
      <c r="F137" s="520"/>
      <c r="G137" s="83">
        <v>45313</v>
      </c>
      <c r="H137" s="457"/>
      <c r="I137" s="338" t="s">
        <v>724</v>
      </c>
      <c r="J137" s="335" t="s">
        <v>725</v>
      </c>
      <c r="K137" s="513">
        <v>1</v>
      </c>
      <c r="L137" s="458"/>
      <c r="M137" s="137">
        <f t="shared" si="43"/>
        <v>1</v>
      </c>
      <c r="N137" s="433"/>
      <c r="O137" s="438"/>
      <c r="P137" s="87">
        <f t="shared" si="42"/>
        <v>1</v>
      </c>
      <c r="Q137" s="712">
        <f t="shared" si="29"/>
        <v>0</v>
      </c>
    </row>
    <row r="138" spans="1:18" s="9" customFormat="1" ht="32.25" customHeight="1" x14ac:dyDescent="0.25">
      <c r="A138" s="89"/>
      <c r="B138" s="379"/>
      <c r="C138" s="554" t="s">
        <v>739</v>
      </c>
      <c r="D138" s="455">
        <v>45465</v>
      </c>
      <c r="E138" s="428" t="s">
        <v>50</v>
      </c>
      <c r="F138" s="456"/>
      <c r="G138" s="83">
        <v>45323</v>
      </c>
      <c r="H138" s="457"/>
      <c r="I138" s="338" t="s">
        <v>737</v>
      </c>
      <c r="J138" s="335" t="s">
        <v>728</v>
      </c>
      <c r="K138" s="513">
        <v>1</v>
      </c>
      <c r="L138" s="458"/>
      <c r="M138" s="137">
        <f t="shared" si="43"/>
        <v>1</v>
      </c>
      <c r="N138" s="433"/>
      <c r="O138" s="438"/>
      <c r="P138" s="87">
        <f t="shared" si="42"/>
        <v>1</v>
      </c>
      <c r="Q138" s="712">
        <f t="shared" si="29"/>
        <v>0</v>
      </c>
    </row>
    <row r="139" spans="1:18" s="9" customFormat="1" ht="32.25" customHeight="1" x14ac:dyDescent="0.25">
      <c r="A139" s="89"/>
      <c r="B139" s="379"/>
      <c r="C139" s="554" t="s">
        <v>740</v>
      </c>
      <c r="D139" s="455">
        <v>45495</v>
      </c>
      <c r="E139" s="428" t="s">
        <v>50</v>
      </c>
      <c r="F139" s="456"/>
      <c r="G139" s="83">
        <v>45323</v>
      </c>
      <c r="H139" s="457"/>
      <c r="I139" s="338" t="s">
        <v>738</v>
      </c>
      <c r="J139" s="335" t="s">
        <v>270</v>
      </c>
      <c r="K139" s="513">
        <v>1</v>
      </c>
      <c r="L139" s="458"/>
      <c r="M139" s="137">
        <f t="shared" si="43"/>
        <v>1</v>
      </c>
      <c r="N139" s="433"/>
      <c r="O139" s="438"/>
      <c r="P139" s="87">
        <f t="shared" si="42"/>
        <v>1</v>
      </c>
      <c r="Q139" s="712">
        <f t="shared" si="29"/>
        <v>0</v>
      </c>
    </row>
    <row r="140" spans="1:18" s="9" customFormat="1" ht="32.25" customHeight="1" x14ac:dyDescent="0.25">
      <c r="A140" s="89"/>
      <c r="B140" s="379"/>
      <c r="C140" s="554"/>
      <c r="D140" s="455">
        <v>45511</v>
      </c>
      <c r="E140" s="428" t="s">
        <v>50</v>
      </c>
      <c r="F140" s="456"/>
      <c r="G140" s="83">
        <v>45329</v>
      </c>
      <c r="H140" s="457"/>
      <c r="I140" s="338" t="s">
        <v>758</v>
      </c>
      <c r="J140" s="335" t="s">
        <v>759</v>
      </c>
      <c r="K140" s="513">
        <v>7</v>
      </c>
      <c r="L140" s="458"/>
      <c r="M140" s="137">
        <f t="shared" si="43"/>
        <v>7</v>
      </c>
      <c r="N140" s="433"/>
      <c r="O140" s="438"/>
      <c r="P140" s="87">
        <f t="shared" si="42"/>
        <v>7</v>
      </c>
      <c r="Q140" s="712">
        <f t="shared" si="29"/>
        <v>0</v>
      </c>
    </row>
    <row r="141" spans="1:18" s="9" customFormat="1" ht="32.25" customHeight="1" x14ac:dyDescent="0.25">
      <c r="A141" s="89"/>
      <c r="B141" s="379"/>
      <c r="C141" s="510" t="s">
        <v>428</v>
      </c>
      <c r="D141" s="455">
        <v>45317</v>
      </c>
      <c r="E141" s="428" t="s">
        <v>50</v>
      </c>
      <c r="F141" s="456"/>
      <c r="G141" s="83">
        <v>45196</v>
      </c>
      <c r="H141" s="457"/>
      <c r="I141" s="338" t="s">
        <v>429</v>
      </c>
      <c r="J141" s="335" t="s">
        <v>270</v>
      </c>
      <c r="K141" s="443">
        <v>1</v>
      </c>
      <c r="L141" s="458"/>
      <c r="M141" s="137">
        <f t="shared" si="43"/>
        <v>1</v>
      </c>
      <c r="N141" s="433"/>
      <c r="O141" s="438"/>
      <c r="P141" s="87">
        <f t="shared" si="42"/>
        <v>1</v>
      </c>
      <c r="Q141" s="712">
        <f t="shared" si="29"/>
        <v>0</v>
      </c>
    </row>
    <row r="142" spans="1:18" s="9" customFormat="1" ht="38.25" customHeight="1" x14ac:dyDescent="0.25">
      <c r="A142" s="89"/>
      <c r="B142" s="379"/>
      <c r="C142" s="810" t="s">
        <v>430</v>
      </c>
      <c r="D142" s="455">
        <v>45317</v>
      </c>
      <c r="E142" s="428" t="s">
        <v>50</v>
      </c>
      <c r="F142" s="456"/>
      <c r="G142" s="83">
        <v>45195</v>
      </c>
      <c r="H142" s="457"/>
      <c r="I142" s="338" t="s">
        <v>441</v>
      </c>
      <c r="J142" s="335" t="s">
        <v>395</v>
      </c>
      <c r="K142" s="513">
        <v>1</v>
      </c>
      <c r="L142" s="458"/>
      <c r="M142" s="137">
        <f t="shared" si="43"/>
        <v>1</v>
      </c>
      <c r="N142" s="433"/>
      <c r="O142" s="438"/>
      <c r="P142" s="87">
        <f t="shared" si="42"/>
        <v>1</v>
      </c>
      <c r="Q142" s="712">
        <f t="shared" si="29"/>
        <v>0</v>
      </c>
    </row>
    <row r="143" spans="1:18" s="9" customFormat="1" ht="32.25" customHeight="1" x14ac:dyDescent="0.25">
      <c r="A143" s="89"/>
      <c r="B143" s="379"/>
      <c r="C143" s="813"/>
      <c r="D143" s="455">
        <v>45285</v>
      </c>
      <c r="E143" s="428" t="s">
        <v>50</v>
      </c>
      <c r="F143" s="456"/>
      <c r="G143" s="83">
        <v>45195</v>
      </c>
      <c r="H143" s="457"/>
      <c r="I143" s="338" t="s">
        <v>447</v>
      </c>
      <c r="J143" s="335" t="s">
        <v>396</v>
      </c>
      <c r="K143" s="513">
        <v>1</v>
      </c>
      <c r="L143" s="458"/>
      <c r="M143" s="137">
        <f t="shared" si="43"/>
        <v>1</v>
      </c>
      <c r="N143" s="433"/>
      <c r="O143" s="438"/>
      <c r="P143" s="87">
        <f t="shared" si="42"/>
        <v>1</v>
      </c>
      <c r="Q143" s="712">
        <f t="shared" si="29"/>
        <v>0</v>
      </c>
    </row>
    <row r="144" spans="1:18" s="9" customFormat="1" ht="32.25" customHeight="1" x14ac:dyDescent="0.25">
      <c r="A144" s="89"/>
      <c r="B144" s="379"/>
      <c r="C144" s="813"/>
      <c r="D144" s="455">
        <v>45317</v>
      </c>
      <c r="E144" s="428" t="s">
        <v>50</v>
      </c>
      <c r="F144" s="456"/>
      <c r="G144" s="83">
        <v>45195</v>
      </c>
      <c r="H144" s="457"/>
      <c r="I144" s="338" t="s">
        <v>443</v>
      </c>
      <c r="J144" s="335" t="s">
        <v>433</v>
      </c>
      <c r="K144" s="513">
        <v>2</v>
      </c>
      <c r="L144" s="458"/>
      <c r="M144" s="137">
        <f t="shared" si="43"/>
        <v>2</v>
      </c>
      <c r="N144" s="433"/>
      <c r="O144" s="438"/>
      <c r="P144" s="87">
        <f t="shared" si="42"/>
        <v>2</v>
      </c>
      <c r="Q144" s="712">
        <f t="shared" si="29"/>
        <v>0</v>
      </c>
    </row>
    <row r="145" spans="1:17" s="9" customFormat="1" ht="32.25" customHeight="1" x14ac:dyDescent="0.25">
      <c r="A145" s="89"/>
      <c r="B145" s="379"/>
      <c r="C145" s="813"/>
      <c r="D145" s="455">
        <v>45317</v>
      </c>
      <c r="E145" s="428" t="s">
        <v>50</v>
      </c>
      <c r="F145" s="456"/>
      <c r="G145" s="83">
        <v>45195</v>
      </c>
      <c r="H145" s="457"/>
      <c r="I145" s="338" t="s">
        <v>444</v>
      </c>
      <c r="J145" s="335" t="s">
        <v>434</v>
      </c>
      <c r="K145" s="513">
        <v>1</v>
      </c>
      <c r="L145" s="458"/>
      <c r="M145" s="137">
        <f t="shared" si="43"/>
        <v>1</v>
      </c>
      <c r="N145" s="433"/>
      <c r="O145" s="438"/>
      <c r="P145" s="87">
        <f t="shared" si="42"/>
        <v>1</v>
      </c>
      <c r="Q145" s="712">
        <f t="shared" si="29"/>
        <v>0</v>
      </c>
    </row>
    <row r="146" spans="1:17" s="9" customFormat="1" ht="32.25" customHeight="1" x14ac:dyDescent="0.25">
      <c r="A146" s="89"/>
      <c r="B146" s="379"/>
      <c r="C146" s="813"/>
      <c r="D146" s="455">
        <v>45317</v>
      </c>
      <c r="E146" s="428" t="s">
        <v>50</v>
      </c>
      <c r="F146" s="456"/>
      <c r="G146" s="83">
        <v>45195</v>
      </c>
      <c r="H146" s="457"/>
      <c r="I146" s="338" t="s">
        <v>446</v>
      </c>
      <c r="J146" s="335" t="s">
        <v>436</v>
      </c>
      <c r="K146" s="513">
        <v>2</v>
      </c>
      <c r="L146" s="458"/>
      <c r="M146" s="137">
        <f t="shared" si="43"/>
        <v>2</v>
      </c>
      <c r="N146" s="433"/>
      <c r="O146" s="438"/>
      <c r="P146" s="87">
        <f t="shared" si="42"/>
        <v>2</v>
      </c>
      <c r="Q146" s="712">
        <f t="shared" si="29"/>
        <v>0</v>
      </c>
    </row>
    <row r="147" spans="1:17" s="9" customFormat="1" ht="78" customHeight="1" x14ac:dyDescent="0.25">
      <c r="A147" s="89"/>
      <c r="B147" s="379"/>
      <c r="C147" s="554" t="s">
        <v>454</v>
      </c>
      <c r="D147" s="455">
        <v>45317</v>
      </c>
      <c r="E147" s="428" t="s">
        <v>50</v>
      </c>
      <c r="F147" s="632"/>
      <c r="G147" s="83">
        <v>45195</v>
      </c>
      <c r="H147" s="457"/>
      <c r="I147" s="338" t="s">
        <v>457</v>
      </c>
      <c r="J147" s="335" t="s">
        <v>455</v>
      </c>
      <c r="K147" s="513">
        <v>2</v>
      </c>
      <c r="L147" s="458"/>
      <c r="M147" s="137">
        <f t="shared" si="43"/>
        <v>2</v>
      </c>
      <c r="N147" s="433"/>
      <c r="O147" s="438"/>
      <c r="P147" s="87">
        <f t="shared" si="42"/>
        <v>2</v>
      </c>
      <c r="Q147" s="712">
        <f t="shared" si="29"/>
        <v>0</v>
      </c>
    </row>
    <row r="148" spans="1:17" s="9" customFormat="1" ht="38.25" customHeight="1" x14ac:dyDescent="0.25">
      <c r="A148" s="89"/>
      <c r="B148" s="379"/>
      <c r="C148" s="810" t="s">
        <v>403</v>
      </c>
      <c r="D148" s="455">
        <v>45278</v>
      </c>
      <c r="E148" s="428" t="s">
        <v>50</v>
      </c>
      <c r="F148" s="456"/>
      <c r="G148" s="83">
        <v>45187</v>
      </c>
      <c r="H148" s="457"/>
      <c r="I148" s="338" t="s">
        <v>398</v>
      </c>
      <c r="J148" s="335" t="s">
        <v>395</v>
      </c>
      <c r="K148" s="513">
        <v>1</v>
      </c>
      <c r="L148" s="458"/>
      <c r="M148" s="137">
        <f t="shared" si="43"/>
        <v>1</v>
      </c>
      <c r="N148" s="433"/>
      <c r="O148" s="438"/>
      <c r="P148" s="87">
        <f t="shared" si="42"/>
        <v>1</v>
      </c>
      <c r="Q148" s="712">
        <f t="shared" si="29"/>
        <v>0</v>
      </c>
    </row>
    <row r="149" spans="1:17" s="9" customFormat="1" ht="32.25" customHeight="1" x14ac:dyDescent="0.25">
      <c r="A149" s="89"/>
      <c r="B149" s="379"/>
      <c r="C149" s="813"/>
      <c r="D149" s="455">
        <v>45278</v>
      </c>
      <c r="E149" s="428" t="s">
        <v>50</v>
      </c>
      <c r="F149" s="456"/>
      <c r="G149" s="83">
        <v>45187</v>
      </c>
      <c r="H149" s="457"/>
      <c r="I149" s="338" t="s">
        <v>399</v>
      </c>
      <c r="J149" s="335" t="s">
        <v>396</v>
      </c>
      <c r="K149" s="513">
        <v>1</v>
      </c>
      <c r="L149" s="458"/>
      <c r="M149" s="137">
        <f t="shared" si="43"/>
        <v>1</v>
      </c>
      <c r="N149" s="433"/>
      <c r="O149" s="438"/>
      <c r="P149" s="87">
        <f t="shared" si="42"/>
        <v>1</v>
      </c>
      <c r="Q149" s="712">
        <f t="shared" si="29"/>
        <v>0</v>
      </c>
    </row>
    <row r="150" spans="1:17" s="9" customFormat="1" ht="41.25" customHeight="1" x14ac:dyDescent="0.25">
      <c r="A150" s="78"/>
      <c r="B150" s="132"/>
      <c r="C150" s="471" t="s">
        <v>518</v>
      </c>
      <c r="D150" s="552">
        <v>44992</v>
      </c>
      <c r="E150" s="365" t="s">
        <v>50</v>
      </c>
      <c r="F150" s="583"/>
      <c r="G150" s="426">
        <v>45237</v>
      </c>
      <c r="H150" s="457"/>
      <c r="I150" s="468" t="s">
        <v>519</v>
      </c>
      <c r="J150" s="336" t="s">
        <v>131</v>
      </c>
      <c r="K150" s="513">
        <v>1</v>
      </c>
      <c r="L150" s="458"/>
      <c r="M150" s="137">
        <f t="shared" si="43"/>
        <v>1</v>
      </c>
      <c r="N150" s="130"/>
      <c r="O150" s="584"/>
      <c r="P150" s="137">
        <f t="shared" si="42"/>
        <v>1</v>
      </c>
      <c r="Q150" s="712">
        <f t="shared" si="29"/>
        <v>0</v>
      </c>
    </row>
    <row r="151" spans="1:17" s="9" customFormat="1" ht="34.5" customHeight="1" x14ac:dyDescent="0.25">
      <c r="A151" s="78"/>
      <c r="B151" s="132"/>
      <c r="C151" s="471" t="s">
        <v>522</v>
      </c>
      <c r="D151" s="552">
        <v>45026</v>
      </c>
      <c r="E151" s="365" t="s">
        <v>50</v>
      </c>
      <c r="F151" s="583"/>
      <c r="G151" s="426">
        <v>45240</v>
      </c>
      <c r="H151" s="457"/>
      <c r="I151" s="468" t="s">
        <v>523</v>
      </c>
      <c r="J151" s="336" t="s">
        <v>211</v>
      </c>
      <c r="K151" s="513">
        <v>1</v>
      </c>
      <c r="L151" s="458"/>
      <c r="M151" s="137">
        <f t="shared" si="43"/>
        <v>1</v>
      </c>
      <c r="N151" s="130"/>
      <c r="O151" s="584"/>
      <c r="P151" s="137">
        <f t="shared" si="42"/>
        <v>1</v>
      </c>
      <c r="Q151" s="712">
        <f t="shared" si="29"/>
        <v>0</v>
      </c>
    </row>
    <row r="152" spans="1:17" s="9" customFormat="1" ht="34.5" customHeight="1" x14ac:dyDescent="0.25">
      <c r="A152" s="78"/>
      <c r="B152" s="132"/>
      <c r="C152" s="471" t="s">
        <v>532</v>
      </c>
      <c r="D152" s="552">
        <v>45413</v>
      </c>
      <c r="E152" s="365" t="s">
        <v>50</v>
      </c>
      <c r="F152" s="583"/>
      <c r="G152" s="426">
        <v>45245</v>
      </c>
      <c r="H152" s="457"/>
      <c r="I152" s="468" t="s">
        <v>533</v>
      </c>
      <c r="J152" s="336" t="s">
        <v>534</v>
      </c>
      <c r="K152" s="513">
        <v>1</v>
      </c>
      <c r="L152" s="458"/>
      <c r="M152" s="137">
        <f t="shared" si="43"/>
        <v>1</v>
      </c>
      <c r="N152" s="130"/>
      <c r="O152" s="584"/>
      <c r="P152" s="137">
        <f t="shared" si="42"/>
        <v>1</v>
      </c>
      <c r="Q152" s="712">
        <f t="shared" si="29"/>
        <v>0</v>
      </c>
    </row>
    <row r="153" spans="1:17" s="9" customFormat="1" ht="35.25" customHeight="1" x14ac:dyDescent="0.25">
      <c r="A153" s="78"/>
      <c r="B153" s="132"/>
      <c r="C153" s="549" t="s">
        <v>535</v>
      </c>
      <c r="D153" s="552">
        <v>45413</v>
      </c>
      <c r="E153" s="365" t="s">
        <v>50</v>
      </c>
      <c r="F153" s="583"/>
      <c r="G153" s="426"/>
      <c r="H153" s="457"/>
      <c r="I153" s="468" t="s">
        <v>536</v>
      </c>
      <c r="J153" s="336" t="s">
        <v>335</v>
      </c>
      <c r="K153" s="513">
        <v>1</v>
      </c>
      <c r="L153" s="458"/>
      <c r="M153" s="137">
        <f t="shared" si="43"/>
        <v>1</v>
      </c>
      <c r="N153" s="130"/>
      <c r="O153" s="584"/>
      <c r="P153" s="137">
        <f t="shared" si="42"/>
        <v>1</v>
      </c>
      <c r="Q153" s="712">
        <f t="shared" si="29"/>
        <v>0</v>
      </c>
    </row>
    <row r="154" spans="1:17" s="9" customFormat="1" ht="26.4" x14ac:dyDescent="0.25">
      <c r="A154" s="78"/>
      <c r="B154" s="132"/>
      <c r="C154" s="471" t="s">
        <v>542</v>
      </c>
      <c r="D154" s="552">
        <v>45413</v>
      </c>
      <c r="E154" s="365" t="s">
        <v>50</v>
      </c>
      <c r="F154" s="583"/>
      <c r="G154" s="426"/>
      <c r="H154" s="457"/>
      <c r="I154" s="468" t="s">
        <v>540</v>
      </c>
      <c r="J154" s="336" t="s">
        <v>541</v>
      </c>
      <c r="K154" s="513">
        <v>1</v>
      </c>
      <c r="L154" s="458"/>
      <c r="M154" s="137">
        <f t="shared" si="43"/>
        <v>1</v>
      </c>
      <c r="N154" s="130"/>
      <c r="O154" s="584"/>
      <c r="P154" s="137">
        <f t="shared" si="42"/>
        <v>1</v>
      </c>
      <c r="Q154" s="712">
        <f t="shared" ref="Q154:Q219" si="44">M154-P154</f>
        <v>0</v>
      </c>
    </row>
    <row r="155" spans="1:17" s="9" customFormat="1" ht="26.4" x14ac:dyDescent="0.25">
      <c r="A155" s="78"/>
      <c r="B155" s="132"/>
      <c r="C155" s="549" t="s">
        <v>566</v>
      </c>
      <c r="D155" s="552">
        <v>45422</v>
      </c>
      <c r="E155" s="365" t="s">
        <v>50</v>
      </c>
      <c r="F155" s="583"/>
      <c r="G155" s="426"/>
      <c r="H155" s="457"/>
      <c r="I155" s="468" t="s">
        <v>565</v>
      </c>
      <c r="J155" s="336" t="s">
        <v>534</v>
      </c>
      <c r="K155" s="513">
        <v>1</v>
      </c>
      <c r="L155" s="458"/>
      <c r="M155" s="137">
        <f t="shared" si="43"/>
        <v>1</v>
      </c>
      <c r="N155" s="130"/>
      <c r="O155" s="584"/>
      <c r="P155" s="137">
        <f t="shared" si="42"/>
        <v>1</v>
      </c>
      <c r="Q155" s="712">
        <f t="shared" si="44"/>
        <v>0</v>
      </c>
    </row>
    <row r="156" spans="1:17" s="9" customFormat="1" ht="26.4" x14ac:dyDescent="0.25">
      <c r="A156" s="78"/>
      <c r="B156" s="132"/>
      <c r="C156" s="790" t="s">
        <v>547</v>
      </c>
      <c r="D156" s="552">
        <v>45361</v>
      </c>
      <c r="E156" s="365" t="s">
        <v>50</v>
      </c>
      <c r="F156" s="583"/>
      <c r="G156" s="426"/>
      <c r="H156" s="457"/>
      <c r="I156" s="468" t="s">
        <v>543</v>
      </c>
      <c r="J156" s="336" t="s">
        <v>544</v>
      </c>
      <c r="K156" s="513">
        <v>4</v>
      </c>
      <c r="L156" s="458"/>
      <c r="M156" s="137">
        <f t="shared" si="43"/>
        <v>4</v>
      </c>
      <c r="N156" s="130"/>
      <c r="O156" s="584"/>
      <c r="P156" s="137">
        <f t="shared" si="42"/>
        <v>4</v>
      </c>
      <c r="Q156" s="712">
        <f t="shared" si="44"/>
        <v>0</v>
      </c>
    </row>
    <row r="157" spans="1:17" s="9" customFormat="1" ht="26.4" x14ac:dyDescent="0.25">
      <c r="A157" s="78"/>
      <c r="B157" s="132"/>
      <c r="C157" s="792"/>
      <c r="D157" s="552">
        <v>45361</v>
      </c>
      <c r="E157" s="365" t="s">
        <v>50</v>
      </c>
      <c r="F157" s="583"/>
      <c r="G157" s="426"/>
      <c r="H157" s="457"/>
      <c r="I157" s="468" t="s">
        <v>545</v>
      </c>
      <c r="J157" s="336" t="s">
        <v>546</v>
      </c>
      <c r="K157" s="513">
        <v>3</v>
      </c>
      <c r="L157" s="458"/>
      <c r="M157" s="137">
        <f t="shared" si="43"/>
        <v>3</v>
      </c>
      <c r="N157" s="130"/>
      <c r="O157" s="584"/>
      <c r="P157" s="137">
        <f t="shared" si="42"/>
        <v>3</v>
      </c>
      <c r="Q157" s="712">
        <f t="shared" si="44"/>
        <v>0</v>
      </c>
    </row>
    <row r="158" spans="1:17" s="9" customFormat="1" ht="26.4" x14ac:dyDescent="0.25">
      <c r="A158" s="78"/>
      <c r="B158" s="132"/>
      <c r="C158" s="549" t="s">
        <v>548</v>
      </c>
      <c r="D158" s="552">
        <v>44967</v>
      </c>
      <c r="E158" s="365" t="s">
        <v>50</v>
      </c>
      <c r="F158" s="583"/>
      <c r="G158" s="426"/>
      <c r="H158" s="457"/>
      <c r="I158" s="468" t="s">
        <v>549</v>
      </c>
      <c r="J158" s="336" t="s">
        <v>550</v>
      </c>
      <c r="K158" s="513">
        <v>3</v>
      </c>
      <c r="L158" s="458"/>
      <c r="M158" s="137">
        <f t="shared" si="43"/>
        <v>3</v>
      </c>
      <c r="N158" s="130"/>
      <c r="O158" s="584"/>
      <c r="P158" s="137">
        <f t="shared" si="42"/>
        <v>3</v>
      </c>
      <c r="Q158" s="712">
        <f t="shared" si="44"/>
        <v>0</v>
      </c>
    </row>
    <row r="159" spans="1:17" s="9" customFormat="1" ht="27" customHeight="1" x14ac:dyDescent="0.25">
      <c r="A159" s="78"/>
      <c r="B159" s="132"/>
      <c r="C159" s="549" t="s">
        <v>553</v>
      </c>
      <c r="D159" s="552">
        <v>44967</v>
      </c>
      <c r="E159" s="365" t="s">
        <v>50</v>
      </c>
      <c r="F159" s="583"/>
      <c r="G159" s="426"/>
      <c r="H159" s="457"/>
      <c r="I159" s="468" t="s">
        <v>551</v>
      </c>
      <c r="J159" s="336" t="s">
        <v>552</v>
      </c>
      <c r="K159" s="513">
        <v>2</v>
      </c>
      <c r="L159" s="458"/>
      <c r="M159" s="137">
        <f t="shared" si="43"/>
        <v>2</v>
      </c>
      <c r="N159" s="130"/>
      <c r="O159" s="584"/>
      <c r="P159" s="137">
        <f t="shared" si="42"/>
        <v>2</v>
      </c>
      <c r="Q159" s="712">
        <f t="shared" si="44"/>
        <v>0</v>
      </c>
    </row>
    <row r="160" spans="1:17" s="9" customFormat="1" ht="30.75" customHeight="1" x14ac:dyDescent="0.25">
      <c r="A160" s="78"/>
      <c r="B160" s="132"/>
      <c r="C160" s="549" t="s">
        <v>596</v>
      </c>
      <c r="D160" s="552">
        <v>45383</v>
      </c>
      <c r="E160" s="365" t="s">
        <v>50</v>
      </c>
      <c r="F160" s="583"/>
      <c r="G160" s="426">
        <v>45261</v>
      </c>
      <c r="H160" s="457"/>
      <c r="I160" s="468" t="s">
        <v>595</v>
      </c>
      <c r="J160" s="336" t="s">
        <v>290</v>
      </c>
      <c r="K160" s="513">
        <v>8</v>
      </c>
      <c r="L160" s="458"/>
      <c r="M160" s="137">
        <v>7</v>
      </c>
      <c r="N160" s="130"/>
      <c r="O160" s="584"/>
      <c r="P160" s="137">
        <f t="shared" si="42"/>
        <v>7</v>
      </c>
      <c r="Q160" s="712">
        <f t="shared" si="44"/>
        <v>0</v>
      </c>
    </row>
    <row r="161" spans="1:18" s="9" customFormat="1" ht="27" customHeight="1" x14ac:dyDescent="0.25">
      <c r="A161" s="78"/>
      <c r="B161" s="132"/>
      <c r="C161" s="471" t="s">
        <v>647</v>
      </c>
      <c r="D161" s="552">
        <v>45017</v>
      </c>
      <c r="E161" s="365" t="s">
        <v>50</v>
      </c>
      <c r="F161" s="583"/>
      <c r="G161" s="426">
        <v>45267</v>
      </c>
      <c r="H161" s="457"/>
      <c r="I161" s="468" t="s">
        <v>645</v>
      </c>
      <c r="J161" s="336" t="s">
        <v>646</v>
      </c>
      <c r="K161" s="513">
        <v>2</v>
      </c>
      <c r="L161" s="458"/>
      <c r="M161" s="137">
        <f t="shared" si="43"/>
        <v>2</v>
      </c>
      <c r="N161" s="130"/>
      <c r="O161" s="584"/>
      <c r="P161" s="137">
        <f t="shared" si="42"/>
        <v>2</v>
      </c>
      <c r="Q161" s="712">
        <f t="shared" si="44"/>
        <v>0</v>
      </c>
    </row>
    <row r="162" spans="1:18" s="9" customFormat="1" ht="27" customHeight="1" x14ac:dyDescent="0.25">
      <c r="A162" s="78"/>
      <c r="B162" s="132"/>
      <c r="C162" s="471" t="s">
        <v>732</v>
      </c>
      <c r="D162" s="552">
        <v>45495</v>
      </c>
      <c r="E162" s="365" t="s">
        <v>50</v>
      </c>
      <c r="F162" s="583"/>
      <c r="G162" s="426">
        <v>45316</v>
      </c>
      <c r="H162" s="457"/>
      <c r="I162" s="468" t="s">
        <v>727</v>
      </c>
      <c r="J162" s="336" t="s">
        <v>728</v>
      </c>
      <c r="K162" s="513">
        <v>1</v>
      </c>
      <c r="L162" s="458"/>
      <c r="M162" s="137">
        <f t="shared" si="43"/>
        <v>1</v>
      </c>
      <c r="N162" s="130"/>
      <c r="O162" s="584"/>
      <c r="P162" s="137">
        <f t="shared" si="42"/>
        <v>1</v>
      </c>
      <c r="Q162" s="712">
        <f t="shared" si="44"/>
        <v>0</v>
      </c>
    </row>
    <row r="163" spans="1:18" s="9" customFormat="1" ht="27" customHeight="1" x14ac:dyDescent="0.25">
      <c r="A163" s="78"/>
      <c r="B163" s="132"/>
      <c r="C163" s="471" t="s">
        <v>733</v>
      </c>
      <c r="D163" s="552">
        <v>45495</v>
      </c>
      <c r="E163" s="365" t="s">
        <v>50</v>
      </c>
      <c r="F163" s="583"/>
      <c r="G163" s="426">
        <v>45316</v>
      </c>
      <c r="H163" s="457"/>
      <c r="I163" s="468" t="s">
        <v>729</v>
      </c>
      <c r="J163" s="336" t="s">
        <v>728</v>
      </c>
      <c r="K163" s="513">
        <v>1</v>
      </c>
      <c r="L163" s="458"/>
      <c r="M163" s="137">
        <f t="shared" si="43"/>
        <v>1</v>
      </c>
      <c r="N163" s="130"/>
      <c r="O163" s="584"/>
      <c r="P163" s="137">
        <f t="shared" si="42"/>
        <v>1</v>
      </c>
      <c r="Q163" s="712">
        <f t="shared" si="44"/>
        <v>0</v>
      </c>
    </row>
    <row r="164" spans="1:18" s="9" customFormat="1" ht="27" customHeight="1" x14ac:dyDescent="0.25">
      <c r="A164" s="78"/>
      <c r="B164" s="132"/>
      <c r="C164" s="471" t="s">
        <v>782</v>
      </c>
      <c r="D164" s="552">
        <v>45463</v>
      </c>
      <c r="E164" s="365" t="s">
        <v>50</v>
      </c>
      <c r="F164" s="583"/>
      <c r="G164" s="426">
        <v>45334</v>
      </c>
      <c r="H164" s="457"/>
      <c r="I164" s="468" t="s">
        <v>781</v>
      </c>
      <c r="J164" s="336" t="s">
        <v>521</v>
      </c>
      <c r="K164" s="513">
        <v>6</v>
      </c>
      <c r="L164" s="458"/>
      <c r="M164" s="137">
        <f t="shared" si="43"/>
        <v>6</v>
      </c>
      <c r="N164" s="130"/>
      <c r="O164" s="584"/>
      <c r="P164" s="137">
        <f t="shared" si="42"/>
        <v>6</v>
      </c>
      <c r="Q164" s="712">
        <f t="shared" si="44"/>
        <v>0</v>
      </c>
    </row>
    <row r="165" spans="1:18" s="9" customFormat="1" ht="27" customHeight="1" x14ac:dyDescent="0.25">
      <c r="A165" s="78"/>
      <c r="B165" s="132"/>
      <c r="C165" s="471" t="s">
        <v>840</v>
      </c>
      <c r="D165" s="552">
        <v>45485</v>
      </c>
      <c r="E165" s="365" t="s">
        <v>50</v>
      </c>
      <c r="F165" s="583"/>
      <c r="G165" s="426">
        <v>45363</v>
      </c>
      <c r="H165" s="457"/>
      <c r="I165" s="468" t="s">
        <v>836</v>
      </c>
      <c r="J165" s="336" t="s">
        <v>131</v>
      </c>
      <c r="K165" s="513">
        <v>2</v>
      </c>
      <c r="L165" s="458"/>
      <c r="M165" s="137">
        <f t="shared" si="43"/>
        <v>2</v>
      </c>
      <c r="N165" s="130"/>
      <c r="O165" s="584"/>
      <c r="P165" s="137">
        <f t="shared" si="42"/>
        <v>2</v>
      </c>
      <c r="Q165" s="712"/>
    </row>
    <row r="166" spans="1:18" s="9" customFormat="1" ht="27" customHeight="1" x14ac:dyDescent="0.25">
      <c r="A166" s="78"/>
      <c r="B166" s="132"/>
      <c r="C166" s="471" t="s">
        <v>841</v>
      </c>
      <c r="D166" s="552">
        <v>45526</v>
      </c>
      <c r="E166" s="365" t="s">
        <v>50</v>
      </c>
      <c r="F166" s="583"/>
      <c r="G166" s="426">
        <v>45363</v>
      </c>
      <c r="H166" s="457"/>
      <c r="I166" s="468" t="s">
        <v>837</v>
      </c>
      <c r="J166" s="336" t="s">
        <v>838</v>
      </c>
      <c r="K166" s="513">
        <v>2</v>
      </c>
      <c r="L166" s="458"/>
      <c r="M166" s="137">
        <f t="shared" si="43"/>
        <v>2</v>
      </c>
      <c r="N166" s="130"/>
      <c r="O166" s="584"/>
      <c r="P166" s="137">
        <f t="shared" si="42"/>
        <v>2</v>
      </c>
      <c r="Q166" s="712"/>
    </row>
    <row r="167" spans="1:18" s="9" customFormat="1" ht="27" customHeight="1" x14ac:dyDescent="0.25">
      <c r="A167" s="78"/>
      <c r="B167" s="132"/>
      <c r="C167" s="471" t="s">
        <v>842</v>
      </c>
      <c r="D167" s="552">
        <v>45485</v>
      </c>
      <c r="E167" s="365" t="s">
        <v>50</v>
      </c>
      <c r="F167" s="583"/>
      <c r="G167" s="426">
        <v>45363</v>
      </c>
      <c r="H167" s="457"/>
      <c r="I167" s="468" t="s">
        <v>839</v>
      </c>
      <c r="J167" s="336" t="s">
        <v>131</v>
      </c>
      <c r="K167" s="513">
        <v>2</v>
      </c>
      <c r="L167" s="458"/>
      <c r="M167" s="137">
        <f t="shared" si="43"/>
        <v>2</v>
      </c>
      <c r="N167" s="130"/>
      <c r="O167" s="584"/>
      <c r="P167" s="137">
        <f t="shared" si="42"/>
        <v>2</v>
      </c>
      <c r="Q167" s="712"/>
    </row>
    <row r="168" spans="1:18" s="9" customFormat="1" ht="27" customHeight="1" x14ac:dyDescent="0.25">
      <c r="A168" s="78"/>
      <c r="B168" s="132"/>
      <c r="C168" s="471" t="s">
        <v>967</v>
      </c>
      <c r="D168" s="552">
        <v>45457</v>
      </c>
      <c r="E168" s="365" t="s">
        <v>50</v>
      </c>
      <c r="F168" s="583"/>
      <c r="G168" s="426">
        <v>45398</v>
      </c>
      <c r="H168" s="457"/>
      <c r="I168" s="468" t="s">
        <v>968</v>
      </c>
      <c r="J168" s="336" t="s">
        <v>343</v>
      </c>
      <c r="K168" s="513">
        <v>2</v>
      </c>
      <c r="L168" s="458"/>
      <c r="M168" s="137">
        <f t="shared" si="43"/>
        <v>2</v>
      </c>
      <c r="N168" s="130"/>
      <c r="O168" s="584"/>
      <c r="P168" s="137">
        <f t="shared" si="42"/>
        <v>2</v>
      </c>
      <c r="Q168" s="712"/>
    </row>
    <row r="169" spans="1:18" s="9" customFormat="1" ht="27" customHeight="1" x14ac:dyDescent="0.25">
      <c r="A169" s="78"/>
      <c r="B169" s="132"/>
      <c r="C169" s="471" t="s">
        <v>1016</v>
      </c>
      <c r="D169" s="763">
        <v>45569</v>
      </c>
      <c r="E169" s="365" t="s">
        <v>50</v>
      </c>
      <c r="F169" s="765"/>
      <c r="G169" s="766">
        <v>45414</v>
      </c>
      <c r="H169" s="525"/>
      <c r="I169" s="468" t="s">
        <v>1015</v>
      </c>
      <c r="J169" s="336" t="s">
        <v>270</v>
      </c>
      <c r="K169" s="513">
        <v>1</v>
      </c>
      <c r="L169" s="458"/>
      <c r="M169" s="137">
        <f t="shared" ref="M169" si="45">K169</f>
        <v>1</v>
      </c>
      <c r="N169" s="130"/>
      <c r="O169" s="584"/>
      <c r="P169" s="137">
        <f t="shared" ref="P169" si="46">M169-N169</f>
        <v>1</v>
      </c>
      <c r="Q169" s="712"/>
    </row>
    <row r="170" spans="1:18" s="9" customFormat="1" ht="17.25" customHeight="1" x14ac:dyDescent="0.25">
      <c r="A170" s="97"/>
      <c r="B170" s="334" t="s">
        <v>88</v>
      </c>
      <c r="C170" s="642"/>
      <c r="D170" s="98"/>
      <c r="E170" s="99"/>
      <c r="F170" s="100"/>
      <c r="G170" s="101"/>
      <c r="H170" s="102"/>
      <c r="I170" s="103"/>
      <c r="J170" s="105"/>
      <c r="K170" s="106"/>
      <c r="L170" s="53"/>
      <c r="M170" s="54"/>
      <c r="N170" s="55"/>
      <c r="O170" s="53"/>
      <c r="P170" s="54"/>
      <c r="Q170" s="712">
        <f t="shared" si="44"/>
        <v>0</v>
      </c>
    </row>
    <row r="171" spans="1:18" s="9" customFormat="1" ht="33.75" customHeight="1" x14ac:dyDescent="0.25">
      <c r="A171" s="89"/>
      <c r="B171" s="379"/>
      <c r="C171" s="834" t="s">
        <v>980</v>
      </c>
      <c r="D171" s="717">
        <v>45489</v>
      </c>
      <c r="E171" s="428" t="s">
        <v>60</v>
      </c>
      <c r="F171" s="456"/>
      <c r="G171" s="83">
        <v>45405</v>
      </c>
      <c r="H171" s="457"/>
      <c r="I171" s="468" t="s">
        <v>975</v>
      </c>
      <c r="J171" s="336" t="s">
        <v>976</v>
      </c>
      <c r="K171" s="513">
        <v>17</v>
      </c>
      <c r="L171" s="458"/>
      <c r="M171" s="688">
        <f>K171</f>
        <v>17</v>
      </c>
      <c r="N171" s="363"/>
      <c r="O171" s="142"/>
      <c r="P171" s="87">
        <f t="shared" ref="P171:P173" si="47">M171-N171</f>
        <v>17</v>
      </c>
      <c r="Q171" s="712"/>
    </row>
    <row r="172" spans="1:18" s="9" customFormat="1" ht="29.25" customHeight="1" x14ac:dyDescent="0.25">
      <c r="A172" s="89"/>
      <c r="B172" s="379"/>
      <c r="C172" s="835"/>
      <c r="D172" s="717">
        <v>45489</v>
      </c>
      <c r="E172" s="428" t="s">
        <v>60</v>
      </c>
      <c r="F172" s="520"/>
      <c r="G172" s="83">
        <v>45405</v>
      </c>
      <c r="H172" s="457"/>
      <c r="I172" s="468" t="s">
        <v>977</v>
      </c>
      <c r="J172" s="336" t="s">
        <v>576</v>
      </c>
      <c r="K172" s="513">
        <v>41</v>
      </c>
      <c r="L172" s="458"/>
      <c r="M172" s="87">
        <f t="shared" ref="M172:M173" si="48">K172</f>
        <v>41</v>
      </c>
      <c r="N172" s="363"/>
      <c r="O172" s="142"/>
      <c r="P172" s="87">
        <f t="shared" si="47"/>
        <v>41</v>
      </c>
      <c r="Q172" s="712"/>
    </row>
    <row r="173" spans="1:18" s="9" customFormat="1" ht="28.5" customHeight="1" x14ac:dyDescent="0.25">
      <c r="A173" s="89"/>
      <c r="B173" s="379"/>
      <c r="C173" s="836"/>
      <c r="D173" s="717">
        <v>45489</v>
      </c>
      <c r="E173" s="428" t="s">
        <v>60</v>
      </c>
      <c r="F173" s="520"/>
      <c r="G173" s="83">
        <v>45405</v>
      </c>
      <c r="H173" s="457"/>
      <c r="I173" s="468" t="s">
        <v>978</v>
      </c>
      <c r="J173" s="336" t="s">
        <v>979</v>
      </c>
      <c r="K173" s="513">
        <v>3</v>
      </c>
      <c r="L173" s="458"/>
      <c r="M173" s="137">
        <f t="shared" si="48"/>
        <v>3</v>
      </c>
      <c r="N173" s="363"/>
      <c r="O173" s="142"/>
      <c r="P173" s="87">
        <f t="shared" si="47"/>
        <v>3</v>
      </c>
      <c r="Q173" s="712"/>
      <c r="R173" s="1"/>
    </row>
    <row r="174" spans="1:18" s="9" customFormat="1" ht="16.5" customHeight="1" x14ac:dyDescent="0.25">
      <c r="A174" s="97"/>
      <c r="B174" s="330" t="s">
        <v>662</v>
      </c>
      <c r="C174" s="98"/>
      <c r="D174" s="98"/>
      <c r="E174" s="99"/>
      <c r="F174" s="100"/>
      <c r="G174" s="101"/>
      <c r="H174" s="102"/>
      <c r="I174" s="103"/>
      <c r="J174" s="105"/>
      <c r="K174" s="106"/>
      <c r="L174" s="111"/>
      <c r="M174" s="54"/>
      <c r="N174" s="55"/>
      <c r="O174" s="111"/>
      <c r="P174" s="52"/>
      <c r="Q174" s="712">
        <f t="shared" si="44"/>
        <v>0</v>
      </c>
    </row>
    <row r="175" spans="1:18" s="40" customFormat="1" ht="23.25" customHeight="1" x14ac:dyDescent="0.3">
      <c r="A175" s="339" t="s">
        <v>52</v>
      </c>
      <c r="B175" s="36"/>
      <c r="C175" s="638"/>
      <c r="D175" s="38"/>
      <c r="E175" s="38"/>
      <c r="F175" s="39"/>
      <c r="G175" s="39"/>
      <c r="H175" s="155"/>
      <c r="I175" s="203"/>
      <c r="J175" s="156"/>
      <c r="K175" s="157"/>
      <c r="L175" s="155"/>
      <c r="M175" s="158"/>
      <c r="N175" s="158"/>
      <c r="O175" s="155"/>
      <c r="P175" s="158"/>
      <c r="Q175" s="712">
        <f t="shared" si="44"/>
        <v>0</v>
      </c>
    </row>
    <row r="176" spans="1:18" s="9" customFormat="1" ht="16.5" customHeight="1" x14ac:dyDescent="0.25">
      <c r="A176" s="97"/>
      <c r="B176" s="330" t="s">
        <v>61</v>
      </c>
      <c r="C176" s="642"/>
      <c r="D176" s="98"/>
      <c r="E176" s="98"/>
      <c r="F176" s="574">
        <f>SUM(F177:F177)</f>
        <v>348668.51</v>
      </c>
      <c r="G176" s="98"/>
      <c r="H176" s="102"/>
      <c r="I176" s="103"/>
      <c r="J176" s="105"/>
      <c r="K176" s="106"/>
      <c r="L176" s="53"/>
      <c r="M176" s="54"/>
      <c r="N176" s="55"/>
      <c r="O176" s="53"/>
      <c r="P176" s="54"/>
      <c r="Q176" s="712">
        <f t="shared" si="44"/>
        <v>0</v>
      </c>
    </row>
    <row r="177" spans="1:17" s="1" customFormat="1" ht="39" customHeight="1" x14ac:dyDescent="0.25">
      <c r="A177" s="333"/>
      <c r="B177" s="377"/>
      <c r="C177" s="507" t="s">
        <v>128</v>
      </c>
      <c r="D177" s="350">
        <v>44280</v>
      </c>
      <c r="E177" s="341" t="s">
        <v>50</v>
      </c>
      <c r="F177" s="573">
        <v>348668.51</v>
      </c>
      <c r="G177" s="331">
        <v>44258</v>
      </c>
      <c r="H177" s="328"/>
      <c r="I177" s="468" t="s">
        <v>81</v>
      </c>
      <c r="J177" s="482" t="s">
        <v>80</v>
      </c>
      <c r="K177" s="378">
        <v>2</v>
      </c>
      <c r="L177" s="329"/>
      <c r="M177" s="69">
        <f>K177</f>
        <v>2</v>
      </c>
      <c r="N177" s="363"/>
      <c r="O177" s="142"/>
      <c r="P177" s="87">
        <f t="shared" ref="P177:P178" si="49">M177-N177</f>
        <v>2</v>
      </c>
      <c r="Q177" s="712">
        <f t="shared" si="44"/>
        <v>0</v>
      </c>
    </row>
    <row r="178" spans="1:17" s="1" customFormat="1" ht="27" customHeight="1" x14ac:dyDescent="0.25">
      <c r="A178" s="333"/>
      <c r="B178" s="377"/>
      <c r="C178" s="522" t="s">
        <v>853</v>
      </c>
      <c r="D178" s="351">
        <v>45412</v>
      </c>
      <c r="E178" s="341" t="s">
        <v>50</v>
      </c>
      <c r="F178" s="580"/>
      <c r="G178" s="354">
        <v>45366</v>
      </c>
      <c r="H178" s="328"/>
      <c r="I178" s="468" t="s">
        <v>854</v>
      </c>
      <c r="J178" s="335" t="s">
        <v>411</v>
      </c>
      <c r="K178" s="443">
        <v>1</v>
      </c>
      <c r="L178" s="329"/>
      <c r="M178" s="87">
        <f t="shared" ref="M178" si="50">K178</f>
        <v>1</v>
      </c>
      <c r="N178" s="449">
        <v>1</v>
      </c>
      <c r="O178" s="142"/>
      <c r="P178" s="137">
        <f t="shared" si="49"/>
        <v>0</v>
      </c>
    </row>
    <row r="179" spans="1:17" s="9" customFormat="1" ht="17.25" customHeight="1" x14ac:dyDescent="0.25">
      <c r="A179" s="97"/>
      <c r="B179" s="369" t="s">
        <v>674</v>
      </c>
      <c r="C179" s="642"/>
      <c r="D179" s="98"/>
      <c r="E179" s="99"/>
      <c r="F179" s="100"/>
      <c r="G179" s="101"/>
      <c r="H179" s="102"/>
      <c r="I179" s="103"/>
      <c r="J179" s="105"/>
      <c r="K179" s="106"/>
      <c r="L179" s="53"/>
      <c r="M179" s="54"/>
      <c r="N179" s="55"/>
      <c r="O179" s="53"/>
      <c r="P179" s="54"/>
      <c r="Q179" s="712">
        <f t="shared" si="44"/>
        <v>0</v>
      </c>
    </row>
    <row r="180" spans="1:17" s="9" customFormat="1" ht="27" customHeight="1" x14ac:dyDescent="0.25">
      <c r="A180" s="78"/>
      <c r="B180" s="132"/>
      <c r="C180" s="490" t="s">
        <v>683</v>
      </c>
      <c r="D180" s="552">
        <v>45289</v>
      </c>
      <c r="E180" s="560" t="s">
        <v>50</v>
      </c>
      <c r="F180" s="583"/>
      <c r="G180" s="426">
        <v>45286</v>
      </c>
      <c r="H180" s="457"/>
      <c r="I180" s="338" t="s">
        <v>678</v>
      </c>
      <c r="J180" s="335" t="s">
        <v>679</v>
      </c>
      <c r="K180" s="454">
        <v>1</v>
      </c>
      <c r="L180" s="458"/>
      <c r="M180" s="87">
        <f t="shared" ref="M180:M181" si="51">K180</f>
        <v>1</v>
      </c>
      <c r="N180" s="363"/>
      <c r="O180" s="142"/>
      <c r="P180" s="87">
        <f t="shared" ref="P180:P181" si="52">M180-N180</f>
        <v>1</v>
      </c>
      <c r="Q180" s="712">
        <f t="shared" si="44"/>
        <v>0</v>
      </c>
    </row>
    <row r="181" spans="1:17" s="1" customFormat="1" ht="27" customHeight="1" x14ac:dyDescent="0.25">
      <c r="A181" s="333"/>
      <c r="B181" s="377"/>
      <c r="C181" s="522" t="s">
        <v>965</v>
      </c>
      <c r="D181" s="351">
        <v>45412</v>
      </c>
      <c r="E181" s="623" t="s">
        <v>50</v>
      </c>
      <c r="F181" s="580"/>
      <c r="G181" s="354">
        <v>45397</v>
      </c>
      <c r="H181" s="328"/>
      <c r="I181" s="338" t="s">
        <v>966</v>
      </c>
      <c r="J181" s="335" t="s">
        <v>676</v>
      </c>
      <c r="K181" s="454">
        <v>1</v>
      </c>
      <c r="L181" s="329"/>
      <c r="M181" s="87">
        <f t="shared" si="51"/>
        <v>1</v>
      </c>
      <c r="N181" s="363"/>
      <c r="O181" s="142"/>
      <c r="P181" s="87">
        <f t="shared" si="52"/>
        <v>1</v>
      </c>
    </row>
    <row r="182" spans="1:17" s="9" customFormat="1" ht="15.75" customHeight="1" x14ac:dyDescent="0.25">
      <c r="A182" s="97"/>
      <c r="B182" s="369" t="s">
        <v>467</v>
      </c>
      <c r="C182" s="642"/>
      <c r="D182" s="98"/>
      <c r="E182" s="99"/>
      <c r="F182" s="100"/>
      <c r="G182" s="101"/>
      <c r="H182" s="102"/>
      <c r="I182" s="103"/>
      <c r="J182" s="105"/>
      <c r="K182" s="106"/>
      <c r="L182" s="53"/>
      <c r="M182" s="54"/>
      <c r="N182" s="55"/>
      <c r="O182" s="53"/>
      <c r="P182" s="54"/>
      <c r="Q182" s="712">
        <f t="shared" si="44"/>
        <v>0</v>
      </c>
    </row>
    <row r="183" spans="1:17" s="9" customFormat="1" ht="27" customHeight="1" x14ac:dyDescent="0.25">
      <c r="A183" s="78"/>
      <c r="B183" s="140"/>
      <c r="C183" s="511" t="s">
        <v>391</v>
      </c>
      <c r="D183" s="350">
        <v>45197</v>
      </c>
      <c r="E183" s="341" t="s">
        <v>60</v>
      </c>
      <c r="F183" s="380"/>
      <c r="G183" s="331">
        <v>45166</v>
      </c>
      <c r="H183" s="141"/>
      <c r="I183" s="338" t="s">
        <v>388</v>
      </c>
      <c r="J183" s="336" t="s">
        <v>385</v>
      </c>
      <c r="K183" s="470">
        <v>2</v>
      </c>
      <c r="L183" s="142"/>
      <c r="M183" s="137">
        <f>K183</f>
        <v>2</v>
      </c>
      <c r="N183" s="164"/>
      <c r="O183" s="438"/>
      <c r="P183" s="137">
        <f t="shared" ref="P183:P184" si="53">M183-N183</f>
        <v>2</v>
      </c>
      <c r="Q183" s="712">
        <f t="shared" si="44"/>
        <v>0</v>
      </c>
    </row>
    <row r="184" spans="1:17" s="9" customFormat="1" ht="27" customHeight="1" x14ac:dyDescent="0.25">
      <c r="A184" s="78"/>
      <c r="B184" s="140"/>
      <c r="C184" s="511" t="s">
        <v>392</v>
      </c>
      <c r="D184" s="350">
        <v>45197</v>
      </c>
      <c r="E184" s="341" t="s">
        <v>60</v>
      </c>
      <c r="F184" s="380"/>
      <c r="G184" s="331">
        <v>45166</v>
      </c>
      <c r="H184" s="141"/>
      <c r="I184" s="338" t="s">
        <v>389</v>
      </c>
      <c r="J184" s="336" t="s">
        <v>386</v>
      </c>
      <c r="K184" s="470">
        <v>2</v>
      </c>
      <c r="L184" s="142"/>
      <c r="M184" s="137">
        <f t="shared" ref="M184" si="54">K184</f>
        <v>2</v>
      </c>
      <c r="N184" s="164"/>
      <c r="O184" s="438"/>
      <c r="P184" s="137">
        <f t="shared" si="53"/>
        <v>2</v>
      </c>
      <c r="Q184" s="712">
        <f t="shared" si="44"/>
        <v>0</v>
      </c>
    </row>
    <row r="185" spans="1:17" s="9" customFormat="1" ht="15.75" customHeight="1" x14ac:dyDescent="0.25">
      <c r="A185" s="97"/>
      <c r="B185" s="330" t="s">
        <v>94</v>
      </c>
      <c r="C185" s="642"/>
      <c r="D185" s="98"/>
      <c r="E185" s="99"/>
      <c r="F185" s="100"/>
      <c r="G185" s="101"/>
      <c r="H185" s="102"/>
      <c r="I185" s="103"/>
      <c r="J185" s="105"/>
      <c r="K185" s="106"/>
      <c r="L185" s="53"/>
      <c r="M185" s="54"/>
      <c r="N185" s="55"/>
      <c r="O185" s="53"/>
      <c r="P185" s="54"/>
      <c r="Q185" s="712">
        <f t="shared" si="44"/>
        <v>0</v>
      </c>
    </row>
    <row r="186" spans="1:17" s="9" customFormat="1" ht="42" customHeight="1" x14ac:dyDescent="0.25">
      <c r="A186" s="78"/>
      <c r="B186" s="140"/>
      <c r="C186" s="547" t="s">
        <v>418</v>
      </c>
      <c r="D186" s="350">
        <v>45260</v>
      </c>
      <c r="E186" s="341" t="s">
        <v>50</v>
      </c>
      <c r="F186" s="380"/>
      <c r="G186" s="331">
        <v>45190</v>
      </c>
      <c r="H186" s="141"/>
      <c r="I186" s="338" t="s">
        <v>422</v>
      </c>
      <c r="J186" s="335" t="s">
        <v>423</v>
      </c>
      <c r="K186" s="86">
        <v>1</v>
      </c>
      <c r="L186" s="142"/>
      <c r="M186" s="367">
        <v>1</v>
      </c>
      <c r="N186" s="88"/>
      <c r="O186" s="142"/>
      <c r="P186" s="87">
        <f t="shared" ref="P186" si="55">K186-N186</f>
        <v>1</v>
      </c>
      <c r="Q186" s="712">
        <f t="shared" si="44"/>
        <v>0</v>
      </c>
    </row>
    <row r="187" spans="1:17" s="9" customFormat="1" ht="21" customHeight="1" x14ac:dyDescent="0.25">
      <c r="A187" s="97"/>
      <c r="B187" s="330" t="s">
        <v>66</v>
      </c>
      <c r="C187" s="642"/>
      <c r="D187" s="98"/>
      <c r="E187" s="98"/>
      <c r="F187" s="575">
        <f>F188</f>
        <v>34982.519999999997</v>
      </c>
      <c r="G187" s="101"/>
      <c r="H187" s="102"/>
      <c r="I187" s="103"/>
      <c r="J187" s="105"/>
      <c r="K187" s="106"/>
      <c r="L187" s="53"/>
      <c r="M187" s="112"/>
      <c r="N187" s="113"/>
      <c r="O187" s="53"/>
      <c r="P187" s="52"/>
      <c r="Q187" s="712">
        <f t="shared" si="44"/>
        <v>0</v>
      </c>
    </row>
    <row r="188" spans="1:17" s="9" customFormat="1" ht="27" customHeight="1" x14ac:dyDescent="0.25">
      <c r="A188" s="78"/>
      <c r="B188" s="140"/>
      <c r="C188" s="547"/>
      <c r="D188" s="350"/>
      <c r="E188" s="341" t="s">
        <v>60</v>
      </c>
      <c r="F188" s="564">
        <v>34982.519999999997</v>
      </c>
      <c r="G188" s="331">
        <v>44665</v>
      </c>
      <c r="H188" s="141"/>
      <c r="I188" s="338" t="s">
        <v>105</v>
      </c>
      <c r="J188" s="482" t="s">
        <v>106</v>
      </c>
      <c r="K188" s="86">
        <v>1</v>
      </c>
      <c r="L188" s="142"/>
      <c r="M188" s="367">
        <v>1</v>
      </c>
      <c r="N188" s="88"/>
      <c r="O188" s="142"/>
      <c r="P188" s="87">
        <f t="shared" ref="P188" si="56">K188-N188</f>
        <v>1</v>
      </c>
      <c r="Q188" s="712">
        <f t="shared" si="44"/>
        <v>0</v>
      </c>
    </row>
    <row r="189" spans="1:17" s="9" customFormat="1" ht="16.5" customHeight="1" x14ac:dyDescent="0.25">
      <c r="A189" s="97"/>
      <c r="B189" s="369" t="s">
        <v>45</v>
      </c>
      <c r="C189" s="642"/>
      <c r="D189" s="98"/>
      <c r="E189" s="99"/>
      <c r="F189" s="100"/>
      <c r="G189" s="101"/>
      <c r="H189" s="102"/>
      <c r="I189" s="103"/>
      <c r="J189" s="105"/>
      <c r="K189" s="106"/>
      <c r="L189" s="53"/>
      <c r="M189" s="71"/>
      <c r="N189" s="55"/>
      <c r="O189" s="53"/>
      <c r="P189" s="54"/>
      <c r="Q189" s="712">
        <f t="shared" si="44"/>
        <v>0</v>
      </c>
    </row>
    <row r="190" spans="1:17" s="9" customFormat="1" ht="41.25" customHeight="1" x14ac:dyDescent="0.25">
      <c r="A190" s="375"/>
      <c r="B190" s="208"/>
      <c r="C190" s="548" t="s">
        <v>528</v>
      </c>
      <c r="D190" s="350"/>
      <c r="E190" s="337" t="s">
        <v>273</v>
      </c>
      <c r="F190" s="364"/>
      <c r="G190" s="390"/>
      <c r="H190" s="439"/>
      <c r="I190" s="338" t="s">
        <v>459</v>
      </c>
      <c r="J190" s="336" t="s">
        <v>458</v>
      </c>
      <c r="K190" s="406">
        <v>1</v>
      </c>
      <c r="L190" s="161"/>
      <c r="M190" s="137">
        <v>1</v>
      </c>
      <c r="N190" s="164"/>
      <c r="O190" s="438"/>
      <c r="P190" s="137">
        <f t="shared" ref="P190" si="57">M190-N190</f>
        <v>1</v>
      </c>
      <c r="Q190" s="712">
        <f t="shared" si="44"/>
        <v>0</v>
      </c>
    </row>
    <row r="191" spans="1:17" s="9" customFormat="1" ht="20.25" customHeight="1" x14ac:dyDescent="0.25">
      <c r="A191" s="97"/>
      <c r="B191" s="462" t="s">
        <v>886</v>
      </c>
      <c r="C191" s="642"/>
      <c r="D191" s="98"/>
      <c r="E191" s="99"/>
      <c r="F191" s="575">
        <f>SUM(F203:F204)</f>
        <v>0</v>
      </c>
      <c r="G191" s="101"/>
      <c r="H191" s="463"/>
      <c r="I191" s="103"/>
      <c r="J191" s="105"/>
      <c r="K191" s="106"/>
      <c r="L191" s="464"/>
      <c r="M191" s="71"/>
      <c r="N191" s="55"/>
      <c r="O191" s="464"/>
      <c r="P191" s="465"/>
      <c r="Q191" s="712">
        <f t="shared" si="44"/>
        <v>0</v>
      </c>
    </row>
    <row r="192" spans="1:17" s="9" customFormat="1" ht="27" customHeight="1" x14ac:dyDescent="0.25">
      <c r="A192" s="78"/>
      <c r="B192" s="140"/>
      <c r="C192" s="511"/>
      <c r="D192" s="350"/>
      <c r="E192" s="341" t="s">
        <v>91</v>
      </c>
      <c r="F192" s="380"/>
      <c r="G192" s="331">
        <v>45378</v>
      </c>
      <c r="H192" s="141"/>
      <c r="I192" s="338" t="s">
        <v>887</v>
      </c>
      <c r="J192" s="336" t="s">
        <v>889</v>
      </c>
      <c r="K192" s="470">
        <v>1</v>
      </c>
      <c r="L192" s="142"/>
      <c r="M192" s="137">
        <f>K192</f>
        <v>1</v>
      </c>
      <c r="N192" s="164"/>
      <c r="O192" s="438"/>
      <c r="P192" s="137">
        <f t="shared" ref="P192:P193" si="58">M192-N192</f>
        <v>1</v>
      </c>
      <c r="Q192" s="712"/>
    </row>
    <row r="193" spans="1:17" s="9" customFormat="1" ht="27" customHeight="1" x14ac:dyDescent="0.25">
      <c r="A193" s="78"/>
      <c r="B193" s="140"/>
      <c r="C193" s="511"/>
      <c r="D193" s="350"/>
      <c r="E193" s="341" t="s">
        <v>91</v>
      </c>
      <c r="F193" s="380"/>
      <c r="G193" s="331">
        <v>45378</v>
      </c>
      <c r="H193" s="141"/>
      <c r="I193" s="338" t="s">
        <v>888</v>
      </c>
      <c r="J193" s="336" t="s">
        <v>890</v>
      </c>
      <c r="K193" s="470">
        <v>1</v>
      </c>
      <c r="L193" s="142"/>
      <c r="M193" s="137">
        <f t="shared" ref="M193" si="59">K193</f>
        <v>1</v>
      </c>
      <c r="N193" s="164"/>
      <c r="O193" s="438"/>
      <c r="P193" s="137">
        <f t="shared" si="58"/>
        <v>1</v>
      </c>
      <c r="Q193" s="712"/>
    </row>
    <row r="194" spans="1:17" s="9" customFormat="1" ht="16.5" customHeight="1" x14ac:dyDescent="0.25">
      <c r="A194" s="97"/>
      <c r="B194" s="334" t="s">
        <v>63</v>
      </c>
      <c r="C194" s="642"/>
      <c r="D194" s="98"/>
      <c r="E194" s="99"/>
      <c r="F194" s="575">
        <f>SUM(F195:F197)</f>
        <v>3505093.96</v>
      </c>
      <c r="G194" s="101"/>
      <c r="H194" s="102"/>
      <c r="I194" s="819" t="s">
        <v>770</v>
      </c>
      <c r="J194" s="820"/>
      <c r="K194" s="821"/>
      <c r="L194" s="53"/>
      <c r="M194" s="417"/>
      <c r="N194" s="418"/>
      <c r="O194" s="53"/>
      <c r="P194" s="54"/>
      <c r="Q194" s="712">
        <f t="shared" si="44"/>
        <v>0</v>
      </c>
    </row>
    <row r="195" spans="1:17" s="9" customFormat="1" ht="27.75" customHeight="1" x14ac:dyDescent="0.25">
      <c r="A195" s="78"/>
      <c r="B195" s="79"/>
      <c r="C195" s="466"/>
      <c r="D195" s="426">
        <v>44620</v>
      </c>
      <c r="E195" s="341" t="s">
        <v>120</v>
      </c>
      <c r="F195" s="567">
        <v>1339143.51</v>
      </c>
      <c r="G195" s="94">
        <v>44902</v>
      </c>
      <c r="H195" s="429"/>
      <c r="I195" s="468" t="s">
        <v>140</v>
      </c>
      <c r="J195" s="336" t="s">
        <v>127</v>
      </c>
      <c r="K195" s="453">
        <v>1</v>
      </c>
      <c r="L195" s="430"/>
      <c r="M195" s="87">
        <f t="shared" ref="M195:M196" si="60">K195</f>
        <v>1</v>
      </c>
      <c r="N195" s="485"/>
      <c r="O195" s="430"/>
      <c r="P195" s="87">
        <f t="shared" ref="P195:P196" si="61">K195-N195</f>
        <v>1</v>
      </c>
      <c r="Q195" s="712">
        <f t="shared" si="44"/>
        <v>0</v>
      </c>
    </row>
    <row r="196" spans="1:17" s="9" customFormat="1" ht="27.75" customHeight="1" x14ac:dyDescent="0.25">
      <c r="A196" s="78"/>
      <c r="B196" s="79"/>
      <c r="C196" s="466"/>
      <c r="D196" s="426">
        <v>45229</v>
      </c>
      <c r="E196" s="341" t="s">
        <v>120</v>
      </c>
      <c r="F196" s="567">
        <v>134345.17000000001</v>
      </c>
      <c r="G196" s="94">
        <v>45175</v>
      </c>
      <c r="H196" s="429"/>
      <c r="I196" s="468" t="s">
        <v>413</v>
      </c>
      <c r="J196" s="481" t="s">
        <v>412</v>
      </c>
      <c r="K196" s="453">
        <v>1</v>
      </c>
      <c r="L196" s="430"/>
      <c r="M196" s="87">
        <f t="shared" si="60"/>
        <v>1</v>
      </c>
      <c r="N196" s="485"/>
      <c r="O196" s="430"/>
      <c r="P196" s="87">
        <f t="shared" si="61"/>
        <v>1</v>
      </c>
      <c r="Q196" s="712">
        <f t="shared" si="44"/>
        <v>0</v>
      </c>
    </row>
    <row r="197" spans="1:17" s="9" customFormat="1" ht="34.5" customHeight="1" x14ac:dyDescent="0.25">
      <c r="A197" s="78"/>
      <c r="B197" s="79"/>
      <c r="C197" s="511" t="s">
        <v>136</v>
      </c>
      <c r="D197" s="426">
        <v>44591</v>
      </c>
      <c r="E197" s="341" t="s">
        <v>120</v>
      </c>
      <c r="F197" s="567">
        <v>2031605.28</v>
      </c>
      <c r="G197" s="94">
        <v>44889</v>
      </c>
      <c r="H197" s="429"/>
      <c r="I197" s="468" t="s">
        <v>137</v>
      </c>
      <c r="J197" s="336" t="s">
        <v>135</v>
      </c>
      <c r="K197" s="453">
        <v>2</v>
      </c>
      <c r="L197" s="430"/>
      <c r="M197" s="87">
        <v>1</v>
      </c>
      <c r="N197" s="485"/>
      <c r="O197" s="430"/>
      <c r="P197" s="87">
        <f>M197-N197</f>
        <v>1</v>
      </c>
      <c r="Q197" s="712">
        <f t="shared" si="44"/>
        <v>0</v>
      </c>
    </row>
    <row r="198" spans="1:17" s="9" customFormat="1" ht="16.5" customHeight="1" x14ac:dyDescent="0.25">
      <c r="A198" s="97"/>
      <c r="B198" s="334" t="s">
        <v>922</v>
      </c>
      <c r="C198" s="642"/>
      <c r="D198" s="98"/>
      <c r="E198" s="99"/>
      <c r="F198" s="100"/>
      <c r="G198" s="101"/>
      <c r="H198" s="102"/>
      <c r="I198" s="103"/>
      <c r="J198" s="105"/>
      <c r="K198" s="106"/>
      <c r="L198" s="53"/>
      <c r="M198" s="49"/>
      <c r="N198" s="55"/>
      <c r="O198" s="53"/>
      <c r="P198" s="54"/>
      <c r="Q198" s="712">
        <f t="shared" si="44"/>
        <v>0</v>
      </c>
    </row>
    <row r="199" spans="1:17" s="9" customFormat="1" ht="27.75" customHeight="1" x14ac:dyDescent="0.25">
      <c r="A199" s="78"/>
      <c r="B199" s="79"/>
      <c r="C199" s="833" t="s">
        <v>929</v>
      </c>
      <c r="D199" s="426">
        <v>45470</v>
      </c>
      <c r="E199" s="341" t="s">
        <v>50</v>
      </c>
      <c r="F199" s="567"/>
      <c r="G199" s="94">
        <v>45387</v>
      </c>
      <c r="H199" s="429"/>
      <c r="I199" s="468" t="s">
        <v>926</v>
      </c>
      <c r="J199" s="336" t="s">
        <v>923</v>
      </c>
      <c r="K199" s="453">
        <v>1</v>
      </c>
      <c r="L199" s="430"/>
      <c r="M199" s="87">
        <f t="shared" ref="M199:M200" si="62">K199</f>
        <v>1</v>
      </c>
      <c r="N199" s="485"/>
      <c r="O199" s="430"/>
      <c r="P199" s="87">
        <f t="shared" ref="P199:P200" si="63">K199-N199</f>
        <v>1</v>
      </c>
      <c r="Q199" s="712"/>
    </row>
    <row r="200" spans="1:17" s="9" customFormat="1" ht="27.75" customHeight="1" x14ac:dyDescent="0.25">
      <c r="A200" s="78"/>
      <c r="B200" s="79"/>
      <c r="C200" s="791"/>
      <c r="D200" s="426">
        <v>45470</v>
      </c>
      <c r="E200" s="341" t="s">
        <v>50</v>
      </c>
      <c r="F200" s="567"/>
      <c r="G200" s="94">
        <v>45387</v>
      </c>
      <c r="H200" s="429"/>
      <c r="I200" s="468" t="s">
        <v>927</v>
      </c>
      <c r="J200" s="336" t="s">
        <v>924</v>
      </c>
      <c r="K200" s="453">
        <v>1</v>
      </c>
      <c r="L200" s="430"/>
      <c r="M200" s="87">
        <f t="shared" si="62"/>
        <v>1</v>
      </c>
      <c r="N200" s="485"/>
      <c r="O200" s="430"/>
      <c r="P200" s="87">
        <f t="shared" si="63"/>
        <v>1</v>
      </c>
      <c r="Q200" s="712"/>
    </row>
    <row r="201" spans="1:17" s="9" customFormat="1" ht="34.5" customHeight="1" x14ac:dyDescent="0.25">
      <c r="A201" s="78"/>
      <c r="B201" s="79"/>
      <c r="C201" s="818"/>
      <c r="D201" s="426">
        <v>45470</v>
      </c>
      <c r="E201" s="341" t="s">
        <v>50</v>
      </c>
      <c r="F201" s="567"/>
      <c r="G201" s="94">
        <v>45387</v>
      </c>
      <c r="H201" s="429"/>
      <c r="I201" s="468" t="s">
        <v>928</v>
      </c>
      <c r="J201" s="336" t="s">
        <v>925</v>
      </c>
      <c r="K201" s="453">
        <v>1</v>
      </c>
      <c r="L201" s="430"/>
      <c r="M201" s="87">
        <v>1</v>
      </c>
      <c r="N201" s="485"/>
      <c r="O201" s="430"/>
      <c r="P201" s="87">
        <f>M201-N201</f>
        <v>1</v>
      </c>
      <c r="Q201" s="712"/>
    </row>
    <row r="202" spans="1:17" s="9" customFormat="1" ht="16.5" customHeight="1" x14ac:dyDescent="0.25">
      <c r="A202" s="97"/>
      <c r="B202" s="369" t="s">
        <v>775</v>
      </c>
      <c r="C202" s="642"/>
      <c r="D202" s="98"/>
      <c r="E202" s="99"/>
      <c r="F202" s="100"/>
      <c r="G202" s="101"/>
      <c r="H202" s="102"/>
      <c r="I202" s="103"/>
      <c r="J202" s="105"/>
      <c r="K202" s="106"/>
      <c r="L202" s="53"/>
      <c r="M202" s="49"/>
      <c r="N202" s="55"/>
      <c r="O202" s="53"/>
      <c r="P202" s="54"/>
      <c r="Q202" s="712">
        <f t="shared" si="44"/>
        <v>0</v>
      </c>
    </row>
    <row r="203" spans="1:17" s="9" customFormat="1" ht="30" customHeight="1" x14ac:dyDescent="0.25">
      <c r="A203" s="375"/>
      <c r="B203" s="208"/>
      <c r="C203" s="799" t="s">
        <v>602</v>
      </c>
      <c r="D203" s="80">
        <v>45342</v>
      </c>
      <c r="E203" s="337" t="s">
        <v>103</v>
      </c>
      <c r="F203" s="599" t="s">
        <v>601</v>
      </c>
      <c r="G203" s="390">
        <v>44766</v>
      </c>
      <c r="H203" s="439"/>
      <c r="I203" s="555" t="s">
        <v>104</v>
      </c>
      <c r="J203" s="481" t="s">
        <v>603</v>
      </c>
      <c r="K203" s="406">
        <v>1</v>
      </c>
      <c r="L203" s="161"/>
      <c r="M203" s="137">
        <v>1</v>
      </c>
      <c r="N203" s="164"/>
      <c r="O203" s="438"/>
      <c r="P203" s="137">
        <f t="shared" ref="P203:P206" si="64">M203-N203</f>
        <v>1</v>
      </c>
      <c r="Q203" s="712">
        <f t="shared" si="44"/>
        <v>0</v>
      </c>
    </row>
    <row r="204" spans="1:17" s="9" customFormat="1" ht="24.75" customHeight="1" x14ac:dyDescent="0.25">
      <c r="A204" s="375"/>
      <c r="B204" s="208"/>
      <c r="C204" s="788"/>
      <c r="D204" s="350">
        <v>45342</v>
      </c>
      <c r="E204" s="337" t="s">
        <v>60</v>
      </c>
      <c r="F204" s="599" t="s">
        <v>601</v>
      </c>
      <c r="G204" s="390">
        <v>44851</v>
      </c>
      <c r="H204" s="439"/>
      <c r="I204" s="555" t="s">
        <v>87</v>
      </c>
      <c r="J204" s="481" t="s">
        <v>604</v>
      </c>
      <c r="K204" s="406">
        <v>1</v>
      </c>
      <c r="L204" s="161"/>
      <c r="M204" s="137">
        <f>K204</f>
        <v>1</v>
      </c>
      <c r="N204" s="164"/>
      <c r="O204" s="438"/>
      <c r="P204" s="137">
        <f t="shared" si="64"/>
        <v>1</v>
      </c>
      <c r="Q204" s="712">
        <f t="shared" si="44"/>
        <v>0</v>
      </c>
    </row>
    <row r="205" spans="1:17" s="9" customFormat="1" ht="24.75" customHeight="1" x14ac:dyDescent="0.25">
      <c r="A205" s="89"/>
      <c r="B205" s="379"/>
      <c r="C205" s="790" t="s">
        <v>780</v>
      </c>
      <c r="D205" s="350">
        <v>45422</v>
      </c>
      <c r="E205" s="337" t="s">
        <v>60</v>
      </c>
      <c r="F205" s="697"/>
      <c r="G205" s="390">
        <v>45335</v>
      </c>
      <c r="H205" s="114"/>
      <c r="I205" s="600" t="s">
        <v>776</v>
      </c>
      <c r="J205" s="714" t="s">
        <v>777</v>
      </c>
      <c r="K205" s="715">
        <v>1</v>
      </c>
      <c r="L205" s="115"/>
      <c r="M205" s="137">
        <f t="shared" ref="M205:M206" si="65">K205</f>
        <v>1</v>
      </c>
      <c r="N205" s="164"/>
      <c r="O205" s="438"/>
      <c r="P205" s="137">
        <f t="shared" si="64"/>
        <v>1</v>
      </c>
      <c r="Q205" s="712">
        <f t="shared" si="44"/>
        <v>0</v>
      </c>
    </row>
    <row r="206" spans="1:17" s="9" customFormat="1" ht="24.75" customHeight="1" x14ac:dyDescent="0.25">
      <c r="A206" s="698"/>
      <c r="B206" s="699"/>
      <c r="C206" s="818"/>
      <c r="D206" s="701">
        <v>45422</v>
      </c>
      <c r="E206" s="337" t="s">
        <v>60</v>
      </c>
      <c r="F206" s="700"/>
      <c r="G206" s="390">
        <v>45335</v>
      </c>
      <c r="H206" s="114"/>
      <c r="I206" s="696" t="s">
        <v>778</v>
      </c>
      <c r="J206" s="538" t="s">
        <v>779</v>
      </c>
      <c r="K206" s="470">
        <v>2</v>
      </c>
      <c r="L206" s="115"/>
      <c r="M206" s="137">
        <f t="shared" si="65"/>
        <v>2</v>
      </c>
      <c r="N206" s="164"/>
      <c r="O206" s="438"/>
      <c r="P206" s="137">
        <f t="shared" si="64"/>
        <v>2</v>
      </c>
      <c r="Q206" s="712">
        <f t="shared" si="44"/>
        <v>0</v>
      </c>
    </row>
    <row r="207" spans="1:17" s="9" customFormat="1" ht="16.5" customHeight="1" x14ac:dyDescent="0.25">
      <c r="A207" s="97"/>
      <c r="B207" s="334" t="s">
        <v>662</v>
      </c>
      <c r="C207" s="642"/>
      <c r="D207" s="98"/>
      <c r="E207" s="99"/>
      <c r="F207" s="100"/>
      <c r="G207" s="101"/>
      <c r="H207" s="102"/>
      <c r="I207" s="103"/>
      <c r="J207" s="105"/>
      <c r="K207" s="106"/>
      <c r="L207" s="53"/>
      <c r="M207" s="49"/>
      <c r="N207" s="55"/>
      <c r="O207" s="53"/>
      <c r="P207" s="54"/>
      <c r="Q207" s="712">
        <f t="shared" si="44"/>
        <v>0</v>
      </c>
    </row>
    <row r="208" spans="1:17" s="1" customFormat="1" ht="27" customHeight="1" x14ac:dyDescent="0.25">
      <c r="A208" s="333"/>
      <c r="B208" s="377"/>
      <c r="C208" s="791"/>
      <c r="D208" s="350">
        <v>45432</v>
      </c>
      <c r="E208" s="428" t="s">
        <v>91</v>
      </c>
      <c r="F208" s="445"/>
      <c r="G208" s="354">
        <v>45401</v>
      </c>
      <c r="H208" s="421"/>
      <c r="I208" s="338" t="s">
        <v>972</v>
      </c>
      <c r="J208" s="336" t="s">
        <v>969</v>
      </c>
      <c r="K208" s="440">
        <v>1</v>
      </c>
      <c r="L208" s="444"/>
      <c r="M208" s="137">
        <v>1</v>
      </c>
      <c r="N208" s="164"/>
      <c r="O208" s="438"/>
      <c r="P208" s="137">
        <f t="shared" ref="P208:P210" si="66">M208-N208</f>
        <v>1</v>
      </c>
      <c r="Q208" s="712"/>
    </row>
    <row r="209" spans="1:17" s="1" customFormat="1" ht="27" customHeight="1" x14ac:dyDescent="0.25">
      <c r="A209" s="333"/>
      <c r="B209" s="377"/>
      <c r="C209" s="791"/>
      <c r="D209" s="350">
        <v>45463</v>
      </c>
      <c r="E209" s="428" t="s">
        <v>91</v>
      </c>
      <c r="F209" s="445"/>
      <c r="G209" s="354">
        <v>45401</v>
      </c>
      <c r="H209" s="421"/>
      <c r="I209" s="338" t="s">
        <v>973</v>
      </c>
      <c r="J209" s="336" t="s">
        <v>970</v>
      </c>
      <c r="K209" s="440">
        <v>1</v>
      </c>
      <c r="L209" s="444"/>
      <c r="M209" s="137">
        <f>K209</f>
        <v>1</v>
      </c>
      <c r="N209" s="164"/>
      <c r="O209" s="438"/>
      <c r="P209" s="137">
        <f t="shared" si="66"/>
        <v>1</v>
      </c>
      <c r="Q209" s="712"/>
    </row>
    <row r="210" spans="1:17" s="1" customFormat="1" ht="27" customHeight="1" x14ac:dyDescent="0.25">
      <c r="A210" s="333"/>
      <c r="B210" s="377"/>
      <c r="C210" s="791"/>
      <c r="D210" s="350">
        <v>45493</v>
      </c>
      <c r="E210" s="428" t="s">
        <v>91</v>
      </c>
      <c r="F210" s="445"/>
      <c r="G210" s="354">
        <v>45401</v>
      </c>
      <c r="H210" s="421"/>
      <c r="I210" s="338" t="s">
        <v>974</v>
      </c>
      <c r="J210" s="336" t="s">
        <v>971</v>
      </c>
      <c r="K210" s="440">
        <v>1</v>
      </c>
      <c r="L210" s="444"/>
      <c r="M210" s="137">
        <f t="shared" ref="M210" si="67">K210</f>
        <v>1</v>
      </c>
      <c r="N210" s="164"/>
      <c r="O210" s="438"/>
      <c r="P210" s="137">
        <f t="shared" si="66"/>
        <v>1</v>
      </c>
      <c r="Q210" s="712"/>
    </row>
    <row r="211" spans="1:17" s="9" customFormat="1" ht="15.75" customHeight="1" x14ac:dyDescent="0.25">
      <c r="A211" s="97"/>
      <c r="B211" s="334" t="s">
        <v>71</v>
      </c>
      <c r="C211" s="642"/>
      <c r="D211" s="98"/>
      <c r="E211" s="99"/>
      <c r="F211" s="100"/>
      <c r="G211" s="101"/>
      <c r="H211" s="102"/>
      <c r="I211" s="103"/>
      <c r="J211" s="104"/>
      <c r="K211" s="105"/>
      <c r="L211" s="106"/>
      <c r="M211" s="49"/>
      <c r="N211" s="55"/>
      <c r="O211" s="53"/>
      <c r="P211" s="54"/>
      <c r="Q211" s="712">
        <f t="shared" si="44"/>
        <v>0</v>
      </c>
    </row>
    <row r="212" spans="1:17" s="1" customFormat="1" ht="27" customHeight="1" x14ac:dyDescent="0.25">
      <c r="A212" s="333"/>
      <c r="B212" s="377"/>
      <c r="C212" s="471"/>
      <c r="D212" s="350"/>
      <c r="E212" s="428" t="s">
        <v>60</v>
      </c>
      <c r="F212" s="445"/>
      <c r="G212" s="354"/>
      <c r="H212" s="421"/>
      <c r="I212" s="338" t="s">
        <v>85</v>
      </c>
      <c r="J212" s="336" t="s">
        <v>77</v>
      </c>
      <c r="K212" s="440">
        <v>0</v>
      </c>
      <c r="L212" s="444"/>
      <c r="M212" s="441">
        <f>K212</f>
        <v>0</v>
      </c>
      <c r="N212" s="427"/>
      <c r="O212" s="142"/>
      <c r="P212" s="352">
        <f>M212-N212</f>
        <v>0</v>
      </c>
      <c r="Q212" s="712">
        <f t="shared" si="44"/>
        <v>0</v>
      </c>
    </row>
    <row r="213" spans="1:17" s="56" customFormat="1" ht="18" customHeight="1" x14ac:dyDescent="0.25">
      <c r="A213" s="41"/>
      <c r="B213" s="330" t="s">
        <v>89</v>
      </c>
      <c r="C213" s="642"/>
      <c r="D213" s="44"/>
      <c r="E213" s="45"/>
      <c r="F213" s="46"/>
      <c r="G213" s="47"/>
      <c r="H213" s="48"/>
      <c r="I213" s="49"/>
      <c r="J213" s="50"/>
      <c r="K213" s="51"/>
      <c r="L213" s="53"/>
      <c r="M213" s="49"/>
      <c r="N213" s="55"/>
      <c r="O213" s="53"/>
      <c r="P213" s="54"/>
      <c r="Q213" s="712">
        <f t="shared" si="44"/>
        <v>0</v>
      </c>
    </row>
    <row r="214" spans="1:17" s="1" customFormat="1" ht="27" customHeight="1" x14ac:dyDescent="0.25">
      <c r="A214" s="333"/>
      <c r="B214" s="377"/>
      <c r="C214" s="791"/>
      <c r="D214" s="350">
        <v>44643</v>
      </c>
      <c r="E214" s="428" t="s">
        <v>91</v>
      </c>
      <c r="F214" s="445"/>
      <c r="G214" s="354">
        <v>44623</v>
      </c>
      <c r="H214" s="421"/>
      <c r="I214" s="338" t="s">
        <v>99</v>
      </c>
      <c r="J214" s="336" t="s">
        <v>96</v>
      </c>
      <c r="K214" s="440">
        <v>1</v>
      </c>
      <c r="L214" s="444"/>
      <c r="M214" s="441">
        <f t="shared" ref="M214:M216" si="68">K214</f>
        <v>1</v>
      </c>
      <c r="N214" s="427"/>
      <c r="O214" s="142"/>
      <c r="P214" s="352">
        <f t="shared" ref="P214:P216" si="69">M214-N214</f>
        <v>1</v>
      </c>
      <c r="Q214" s="712">
        <f t="shared" si="44"/>
        <v>0</v>
      </c>
    </row>
    <row r="215" spans="1:17" s="1" customFormat="1" ht="27" customHeight="1" x14ac:dyDescent="0.25">
      <c r="A215" s="333"/>
      <c r="B215" s="377"/>
      <c r="C215" s="791"/>
      <c r="D215" s="350">
        <v>44643</v>
      </c>
      <c r="E215" s="428" t="s">
        <v>91</v>
      </c>
      <c r="F215" s="445"/>
      <c r="G215" s="354">
        <v>44623</v>
      </c>
      <c r="H215" s="421"/>
      <c r="I215" s="338" t="s">
        <v>100</v>
      </c>
      <c r="J215" s="336" t="s">
        <v>97</v>
      </c>
      <c r="K215" s="440">
        <v>1</v>
      </c>
      <c r="L215" s="444"/>
      <c r="M215" s="441">
        <f t="shared" si="68"/>
        <v>1</v>
      </c>
      <c r="N215" s="427"/>
      <c r="O215" s="142"/>
      <c r="P215" s="352">
        <f t="shared" si="69"/>
        <v>1</v>
      </c>
      <c r="Q215" s="712">
        <f t="shared" si="44"/>
        <v>0</v>
      </c>
    </row>
    <row r="216" spans="1:17" s="1" customFormat="1" ht="27" customHeight="1" x14ac:dyDescent="0.25">
      <c r="A216" s="333"/>
      <c r="B216" s="377"/>
      <c r="C216" s="791"/>
      <c r="D216" s="350">
        <v>44643</v>
      </c>
      <c r="E216" s="428" t="s">
        <v>91</v>
      </c>
      <c r="F216" s="445"/>
      <c r="G216" s="354">
        <v>44623</v>
      </c>
      <c r="H216" s="421"/>
      <c r="I216" s="338" t="s">
        <v>101</v>
      </c>
      <c r="J216" s="336" t="s">
        <v>98</v>
      </c>
      <c r="K216" s="440">
        <v>1</v>
      </c>
      <c r="L216" s="444"/>
      <c r="M216" s="441">
        <f t="shared" si="68"/>
        <v>1</v>
      </c>
      <c r="N216" s="427"/>
      <c r="O216" s="142"/>
      <c r="P216" s="352">
        <f t="shared" si="69"/>
        <v>1</v>
      </c>
      <c r="Q216" s="712">
        <f t="shared" si="44"/>
        <v>0</v>
      </c>
    </row>
    <row r="217" spans="1:17" s="56" customFormat="1" ht="18" customHeight="1" x14ac:dyDescent="0.25">
      <c r="A217" s="41"/>
      <c r="B217" s="330" t="s">
        <v>69</v>
      </c>
      <c r="C217" s="642"/>
      <c r="D217" s="44"/>
      <c r="E217" s="45"/>
      <c r="F217" s="46"/>
      <c r="G217" s="47"/>
      <c r="H217" s="48"/>
      <c r="I217" s="49"/>
      <c r="J217" s="50"/>
      <c r="K217" s="51"/>
      <c r="L217" s="53"/>
      <c r="M217" s="49"/>
      <c r="N217" s="55"/>
      <c r="O217" s="53"/>
      <c r="P217" s="54"/>
      <c r="Q217" s="712">
        <f t="shared" si="44"/>
        <v>0</v>
      </c>
    </row>
    <row r="218" spans="1:17" s="9" customFormat="1" ht="20.25" customHeight="1" x14ac:dyDescent="0.25">
      <c r="A218" s="97"/>
      <c r="B218" s="330" t="s">
        <v>855</v>
      </c>
      <c r="C218" s="642"/>
      <c r="D218" s="98"/>
      <c r="E218" s="99"/>
      <c r="F218" s="100"/>
      <c r="G218" s="101"/>
      <c r="H218" s="102"/>
      <c r="I218" s="103"/>
      <c r="J218" s="105"/>
      <c r="K218" s="106"/>
      <c r="L218" s="53"/>
      <c r="M218" s="49"/>
      <c r="N218" s="55"/>
      <c r="O218" s="53"/>
      <c r="P218" s="54"/>
      <c r="Q218" s="712">
        <f t="shared" si="44"/>
        <v>0</v>
      </c>
    </row>
    <row r="219" spans="1:17" s="56" customFormat="1" ht="18.75" customHeight="1" x14ac:dyDescent="0.25">
      <c r="A219" s="41"/>
      <c r="B219" s="330" t="s">
        <v>342</v>
      </c>
      <c r="C219" s="642"/>
      <c r="D219" s="44"/>
      <c r="E219" s="44"/>
      <c r="F219" s="46"/>
      <c r="G219" s="47"/>
      <c r="H219" s="48"/>
      <c r="I219" s="49"/>
      <c r="J219" s="50"/>
      <c r="K219" s="51"/>
      <c r="L219" s="53"/>
      <c r="M219" s="49"/>
      <c r="N219" s="55"/>
      <c r="O219" s="53"/>
      <c r="P219" s="54"/>
      <c r="Q219" s="712">
        <f t="shared" si="44"/>
        <v>0</v>
      </c>
    </row>
    <row r="220" spans="1:17" s="154" customFormat="1" ht="27.75" customHeight="1" x14ac:dyDescent="0.25">
      <c r="A220" s="143" t="s">
        <v>3</v>
      </c>
      <c r="B220" s="144"/>
      <c r="C220" s="150"/>
      <c r="D220" s="146"/>
      <c r="E220" s="146"/>
      <c r="F220" s="147"/>
      <c r="G220" s="147"/>
      <c r="H220" s="370"/>
      <c r="I220" s="149"/>
      <c r="J220" s="184"/>
      <c r="K220" s="150"/>
      <c r="L220" s="152"/>
      <c r="M220" s="153"/>
      <c r="N220" s="151"/>
      <c r="O220" s="152"/>
      <c r="P220" s="153"/>
      <c r="Q220" s="712">
        <f t="shared" ref="Q220:Q265" si="70">M220-P220</f>
        <v>0</v>
      </c>
    </row>
    <row r="221" spans="1:17" s="40" customFormat="1" ht="24" customHeight="1" x14ac:dyDescent="0.3">
      <c r="A221" s="339" t="s">
        <v>55</v>
      </c>
      <c r="B221" s="36"/>
      <c r="C221" s="638"/>
      <c r="D221" s="38"/>
      <c r="E221" s="38"/>
      <c r="F221" s="39"/>
      <c r="G221" s="39"/>
      <c r="H221" s="197"/>
      <c r="I221" s="198"/>
      <c r="J221" s="156"/>
      <c r="K221" s="157"/>
      <c r="L221" s="197"/>
      <c r="M221" s="158"/>
      <c r="N221" s="158"/>
      <c r="O221" s="197"/>
      <c r="P221" s="158"/>
      <c r="Q221" s="712">
        <f t="shared" si="70"/>
        <v>0</v>
      </c>
    </row>
    <row r="222" spans="1:17" s="1" customFormat="1" ht="38.25" customHeight="1" x14ac:dyDescent="0.25">
      <c r="A222" s="539"/>
      <c r="B222" s="540"/>
      <c r="C222" s="472" t="s">
        <v>302</v>
      </c>
      <c r="D222" s="350">
        <v>44803</v>
      </c>
      <c r="E222" s="341" t="s">
        <v>301</v>
      </c>
      <c r="F222" s="542" t="s">
        <v>314</v>
      </c>
      <c r="G222" s="331">
        <v>45099</v>
      </c>
      <c r="H222" s="541"/>
      <c r="I222" s="338" t="s">
        <v>110</v>
      </c>
      <c r="J222" s="336" t="s">
        <v>109</v>
      </c>
      <c r="K222" s="470">
        <v>6</v>
      </c>
      <c r="L222" s="543"/>
      <c r="M222" s="352">
        <v>1</v>
      </c>
      <c r="N222" s="544"/>
      <c r="O222" s="545"/>
      <c r="P222" s="352">
        <v>1</v>
      </c>
      <c r="Q222" s="712">
        <f t="shared" si="70"/>
        <v>0</v>
      </c>
    </row>
    <row r="223" spans="1:17" s="1" customFormat="1" ht="38.25" customHeight="1" x14ac:dyDescent="0.25">
      <c r="A223" s="539"/>
      <c r="B223" s="540"/>
      <c r="C223" s="472" t="s">
        <v>868</v>
      </c>
      <c r="D223" s="350">
        <v>45401</v>
      </c>
      <c r="E223" s="341" t="s">
        <v>858</v>
      </c>
      <c r="F223" s="542" t="s">
        <v>869</v>
      </c>
      <c r="G223" s="331">
        <v>45371</v>
      </c>
      <c r="H223" s="541"/>
      <c r="I223" s="338" t="s">
        <v>476</v>
      </c>
      <c r="J223" s="336" t="s">
        <v>576</v>
      </c>
      <c r="K223" s="470">
        <v>2</v>
      </c>
      <c r="L223" s="543"/>
      <c r="M223" s="352">
        <f>K223</f>
        <v>2</v>
      </c>
      <c r="N223" s="544"/>
      <c r="O223" s="545"/>
      <c r="P223" s="352">
        <f>M223-N223</f>
        <v>2</v>
      </c>
      <c r="Q223" s="716" t="s">
        <v>870</v>
      </c>
    </row>
    <row r="224" spans="1:17" s="1" customFormat="1" ht="46.5" customHeight="1" x14ac:dyDescent="0.25">
      <c r="A224" s="539"/>
      <c r="B224" s="540"/>
      <c r="C224" s="472" t="s">
        <v>881</v>
      </c>
      <c r="D224" s="350"/>
      <c r="E224" s="341" t="s">
        <v>50</v>
      </c>
      <c r="F224" s="542" t="s">
        <v>882</v>
      </c>
      <c r="G224" s="331">
        <v>45378</v>
      </c>
      <c r="H224" s="541"/>
      <c r="I224" s="338" t="s">
        <v>883</v>
      </c>
      <c r="J224" s="336" t="s">
        <v>884</v>
      </c>
      <c r="K224" s="470">
        <v>1</v>
      </c>
      <c r="L224" s="543"/>
      <c r="M224" s="352">
        <f>K224</f>
        <v>1</v>
      </c>
      <c r="N224" s="544"/>
      <c r="O224" s="545"/>
      <c r="P224" s="352">
        <f>M224-N224</f>
        <v>1</v>
      </c>
      <c r="Q224" s="716" t="s">
        <v>885</v>
      </c>
    </row>
    <row r="225" spans="1:17" s="154" customFormat="1" ht="22.65" customHeight="1" x14ac:dyDescent="0.25">
      <c r="A225" s="340" t="s">
        <v>78</v>
      </c>
      <c r="B225" s="144"/>
      <c r="C225" s="150"/>
      <c r="D225" s="146"/>
      <c r="E225" s="146"/>
      <c r="F225" s="147"/>
      <c r="G225" s="147"/>
      <c r="H225" s="370"/>
      <c r="I225" s="149"/>
      <c r="J225" s="184"/>
      <c r="K225" s="150"/>
      <c r="L225" s="152"/>
      <c r="M225" s="153"/>
      <c r="N225" s="151"/>
      <c r="O225" s="152"/>
      <c r="P225" s="153"/>
      <c r="Q225" s="712">
        <f t="shared" si="70"/>
        <v>0</v>
      </c>
    </row>
    <row r="226" spans="1:17" s="40" customFormat="1" ht="23.25" customHeight="1" x14ac:dyDescent="0.3">
      <c r="A226" s="634" t="s">
        <v>748</v>
      </c>
      <c r="B226" s="200"/>
      <c r="C226" s="645"/>
      <c r="D226" s="407"/>
      <c r="E226" s="407"/>
      <c r="F226" s="408"/>
      <c r="G226" s="408"/>
      <c r="H226" s="155"/>
      <c r="I226" s="198"/>
      <c r="J226" s="409"/>
      <c r="K226" s="204"/>
      <c r="L226" s="155"/>
      <c r="M226" s="159"/>
      <c r="N226" s="159"/>
      <c r="O226" s="155"/>
      <c r="P226" s="159"/>
      <c r="Q226" s="712">
        <f t="shared" si="70"/>
        <v>0</v>
      </c>
    </row>
    <row r="227" spans="1:17" s="9" customFormat="1" ht="32.25" customHeight="1" x14ac:dyDescent="0.25">
      <c r="A227" s="89"/>
      <c r="B227" s="379"/>
      <c r="C227" s="514"/>
      <c r="D227" s="455">
        <v>44941</v>
      </c>
      <c r="E227" s="428" t="s">
        <v>50</v>
      </c>
      <c r="F227" s="456"/>
      <c r="G227" s="83">
        <v>44921</v>
      </c>
      <c r="H227" s="457"/>
      <c r="I227" s="338" t="s">
        <v>160</v>
      </c>
      <c r="J227" s="335" t="s">
        <v>159</v>
      </c>
      <c r="K227" s="443">
        <v>1</v>
      </c>
      <c r="L227" s="458"/>
      <c r="M227" s="137">
        <f>K227</f>
        <v>1</v>
      </c>
      <c r="N227" s="433"/>
      <c r="O227" s="438"/>
      <c r="P227" s="87">
        <f>M227-N227</f>
        <v>1</v>
      </c>
      <c r="Q227" s="712">
        <f>M227-P227</f>
        <v>0</v>
      </c>
    </row>
    <row r="228" spans="1:17" s="9" customFormat="1" ht="36.75" customHeight="1" x14ac:dyDescent="0.25">
      <c r="A228" s="89"/>
      <c r="B228" s="379"/>
      <c r="C228" s="509"/>
      <c r="D228" s="455" t="s">
        <v>216</v>
      </c>
      <c r="E228" s="428" t="s">
        <v>50</v>
      </c>
      <c r="F228" s="571" t="s">
        <v>493</v>
      </c>
      <c r="G228" s="83">
        <v>44994</v>
      </c>
      <c r="H228" s="457"/>
      <c r="I228" s="338" t="s">
        <v>217</v>
      </c>
      <c r="J228" s="335" t="s">
        <v>218</v>
      </c>
      <c r="K228" s="443">
        <f>24-2-4</f>
        <v>18</v>
      </c>
      <c r="L228" s="458"/>
      <c r="M228" s="137">
        <f t="shared" ref="M228:M246" si="71">K228</f>
        <v>18</v>
      </c>
      <c r="N228" s="433"/>
      <c r="O228" s="438"/>
      <c r="P228" s="87">
        <f t="shared" ref="P228:P246" si="72">M228-N228</f>
        <v>18</v>
      </c>
      <c r="Q228" s="712">
        <f t="shared" si="70"/>
        <v>0</v>
      </c>
    </row>
    <row r="229" spans="1:17" s="9" customFormat="1" ht="26.4" x14ac:dyDescent="0.25">
      <c r="A229" s="89"/>
      <c r="B229" s="379"/>
      <c r="C229" s="813"/>
      <c r="D229" s="455"/>
      <c r="E229" s="428" t="s">
        <v>50</v>
      </c>
      <c r="F229" s="456"/>
      <c r="G229" s="83">
        <v>44922</v>
      </c>
      <c r="H229" s="457"/>
      <c r="I229" s="338" t="s">
        <v>164</v>
      </c>
      <c r="J229" s="335" t="s">
        <v>161</v>
      </c>
      <c r="K229" s="443">
        <v>1</v>
      </c>
      <c r="L229" s="458">
        <v>1</v>
      </c>
      <c r="M229" s="137">
        <f t="shared" si="71"/>
        <v>1</v>
      </c>
      <c r="N229" s="433"/>
      <c r="O229" s="438"/>
      <c r="P229" s="87">
        <f t="shared" si="72"/>
        <v>1</v>
      </c>
      <c r="Q229" s="712">
        <f t="shared" si="70"/>
        <v>0</v>
      </c>
    </row>
    <row r="230" spans="1:17" s="9" customFormat="1" ht="26.4" x14ac:dyDescent="0.25">
      <c r="A230" s="89"/>
      <c r="B230" s="379"/>
      <c r="C230" s="813"/>
      <c r="D230" s="455"/>
      <c r="E230" s="428" t="s">
        <v>50</v>
      </c>
      <c r="F230" s="456"/>
      <c r="G230" s="83">
        <v>44922</v>
      </c>
      <c r="H230" s="457"/>
      <c r="I230" s="338" t="s">
        <v>165</v>
      </c>
      <c r="J230" s="335" t="s">
        <v>162</v>
      </c>
      <c r="K230" s="443">
        <v>1</v>
      </c>
      <c r="L230" s="458">
        <v>1</v>
      </c>
      <c r="M230" s="137">
        <f t="shared" si="71"/>
        <v>1</v>
      </c>
      <c r="N230" s="433"/>
      <c r="O230" s="438"/>
      <c r="P230" s="87">
        <f t="shared" si="72"/>
        <v>1</v>
      </c>
      <c r="Q230" s="712">
        <f t="shared" si="70"/>
        <v>0</v>
      </c>
    </row>
    <row r="231" spans="1:17" s="9" customFormat="1" ht="23.25" customHeight="1" x14ac:dyDescent="0.25">
      <c r="A231" s="89"/>
      <c r="B231" s="379"/>
      <c r="C231" s="813"/>
      <c r="D231" s="455"/>
      <c r="E231" s="428" t="s">
        <v>50</v>
      </c>
      <c r="F231" s="456"/>
      <c r="G231" s="83">
        <v>44922</v>
      </c>
      <c r="H231" s="457"/>
      <c r="I231" s="338" t="s">
        <v>166</v>
      </c>
      <c r="J231" s="335" t="s">
        <v>163</v>
      </c>
      <c r="K231" s="443">
        <v>1</v>
      </c>
      <c r="L231" s="458">
        <v>1</v>
      </c>
      <c r="M231" s="137">
        <f t="shared" si="71"/>
        <v>1</v>
      </c>
      <c r="N231" s="433"/>
      <c r="O231" s="438"/>
      <c r="P231" s="87">
        <f t="shared" si="72"/>
        <v>1</v>
      </c>
      <c r="Q231" s="712">
        <f t="shared" si="70"/>
        <v>0</v>
      </c>
    </row>
    <row r="232" spans="1:17" s="9" customFormat="1" ht="18" customHeight="1" x14ac:dyDescent="0.25">
      <c r="A232" s="89"/>
      <c r="B232" s="379"/>
      <c r="C232" s="813"/>
      <c r="D232" s="455"/>
      <c r="E232" s="428" t="s">
        <v>50</v>
      </c>
      <c r="F232" s="456"/>
      <c r="G232" s="83">
        <v>44922</v>
      </c>
      <c r="H232" s="457"/>
      <c r="I232" s="338" t="s">
        <v>175</v>
      </c>
      <c r="J232" s="335" t="s">
        <v>167</v>
      </c>
      <c r="K232" s="443">
        <v>1</v>
      </c>
      <c r="L232" s="458">
        <v>4</v>
      </c>
      <c r="M232" s="137">
        <f t="shared" si="71"/>
        <v>1</v>
      </c>
      <c r="N232" s="433"/>
      <c r="O232" s="438"/>
      <c r="P232" s="87">
        <f t="shared" si="72"/>
        <v>1</v>
      </c>
      <c r="Q232" s="712">
        <f t="shared" si="70"/>
        <v>0</v>
      </c>
    </row>
    <row r="233" spans="1:17" s="9" customFormat="1" ht="32.25" customHeight="1" x14ac:dyDescent="0.25">
      <c r="A233" s="89"/>
      <c r="B233" s="379"/>
      <c r="C233" s="813"/>
      <c r="D233" s="455"/>
      <c r="E233" s="428" t="s">
        <v>50</v>
      </c>
      <c r="F233" s="456"/>
      <c r="G233" s="83">
        <v>44922</v>
      </c>
      <c r="H233" s="457"/>
      <c r="I233" s="338" t="s">
        <v>176</v>
      </c>
      <c r="J233" s="335" t="s">
        <v>169</v>
      </c>
      <c r="K233" s="443">
        <v>1</v>
      </c>
      <c r="L233" s="458">
        <v>8</v>
      </c>
      <c r="M233" s="137">
        <f t="shared" si="71"/>
        <v>1</v>
      </c>
      <c r="N233" s="433"/>
      <c r="O233" s="438"/>
      <c r="P233" s="87">
        <f t="shared" si="72"/>
        <v>1</v>
      </c>
      <c r="Q233" s="712">
        <f t="shared" si="70"/>
        <v>0</v>
      </c>
    </row>
    <row r="234" spans="1:17" s="9" customFormat="1" ht="25.5" customHeight="1" x14ac:dyDescent="0.25">
      <c r="A234" s="89"/>
      <c r="B234" s="379"/>
      <c r="C234" s="813"/>
      <c r="D234" s="455"/>
      <c r="E234" s="428" t="s">
        <v>50</v>
      </c>
      <c r="F234" s="456"/>
      <c r="G234" s="83">
        <v>44922</v>
      </c>
      <c r="H234" s="457"/>
      <c r="I234" s="338" t="s">
        <v>177</v>
      </c>
      <c r="J234" s="335" t="s">
        <v>170</v>
      </c>
      <c r="K234" s="443">
        <v>1</v>
      </c>
      <c r="L234" s="458">
        <v>9</v>
      </c>
      <c r="M234" s="137">
        <f t="shared" si="71"/>
        <v>1</v>
      </c>
      <c r="N234" s="433"/>
      <c r="O234" s="438"/>
      <c r="P234" s="87">
        <f t="shared" si="72"/>
        <v>1</v>
      </c>
      <c r="Q234" s="712">
        <f t="shared" si="70"/>
        <v>0</v>
      </c>
    </row>
    <row r="235" spans="1:17" s="9" customFormat="1" ht="25.5" customHeight="1" x14ac:dyDescent="0.25">
      <c r="A235" s="89"/>
      <c r="B235" s="379"/>
      <c r="C235" s="813"/>
      <c r="D235" s="455"/>
      <c r="E235" s="428" t="s">
        <v>50</v>
      </c>
      <c r="G235" s="83">
        <v>44922</v>
      </c>
      <c r="H235" s="457"/>
      <c r="I235" s="338" t="s">
        <v>178</v>
      </c>
      <c r="J235" s="335" t="s">
        <v>171</v>
      </c>
      <c r="K235" s="443">
        <v>1</v>
      </c>
      <c r="L235" s="458">
        <v>11</v>
      </c>
      <c r="M235" s="137">
        <f t="shared" si="71"/>
        <v>1</v>
      </c>
      <c r="N235" s="433"/>
      <c r="O235" s="438"/>
      <c r="P235" s="87">
        <f t="shared" si="72"/>
        <v>1</v>
      </c>
      <c r="Q235" s="712">
        <f t="shared" si="70"/>
        <v>0</v>
      </c>
    </row>
    <row r="236" spans="1:17" s="9" customFormat="1" ht="24.75" customHeight="1" x14ac:dyDescent="0.25">
      <c r="A236" s="89"/>
      <c r="B236" s="379"/>
      <c r="C236" s="813"/>
      <c r="D236" s="455"/>
      <c r="E236" s="428" t="s">
        <v>50</v>
      </c>
      <c r="F236" s="456"/>
      <c r="G236" s="83">
        <v>44922</v>
      </c>
      <c r="H236" s="457"/>
      <c r="I236" s="338" t="s">
        <v>179</v>
      </c>
      <c r="J236" s="335" t="s">
        <v>173</v>
      </c>
      <c r="K236" s="443">
        <v>1</v>
      </c>
      <c r="L236" s="458">
        <v>12</v>
      </c>
      <c r="M236" s="137">
        <f t="shared" si="71"/>
        <v>1</v>
      </c>
      <c r="N236" s="433"/>
      <c r="O236" s="438"/>
      <c r="P236" s="87">
        <f t="shared" si="72"/>
        <v>1</v>
      </c>
      <c r="Q236" s="712">
        <f t="shared" si="70"/>
        <v>0</v>
      </c>
    </row>
    <row r="237" spans="1:17" s="9" customFormat="1" ht="29.25" customHeight="1" x14ac:dyDescent="0.25">
      <c r="A237" s="89"/>
      <c r="B237" s="379"/>
      <c r="C237" s="813"/>
      <c r="D237" s="455"/>
      <c r="E237" s="428" t="s">
        <v>50</v>
      </c>
      <c r="F237" s="456"/>
      <c r="G237" s="83">
        <v>44922</v>
      </c>
      <c r="H237" s="457"/>
      <c r="I237" s="338" t="s">
        <v>180</v>
      </c>
      <c r="J237" s="335" t="s">
        <v>172</v>
      </c>
      <c r="K237" s="443">
        <v>1</v>
      </c>
      <c r="L237" s="458">
        <v>13</v>
      </c>
      <c r="M237" s="137">
        <f t="shared" si="71"/>
        <v>1</v>
      </c>
      <c r="N237" s="433"/>
      <c r="O237" s="438"/>
      <c r="P237" s="87">
        <f t="shared" si="72"/>
        <v>1</v>
      </c>
      <c r="Q237" s="712">
        <f t="shared" si="70"/>
        <v>0</v>
      </c>
    </row>
    <row r="238" spans="1:17" s="9" customFormat="1" ht="21" customHeight="1" x14ac:dyDescent="0.25">
      <c r="A238" s="89"/>
      <c r="B238" s="379"/>
      <c r="C238" s="813"/>
      <c r="D238" s="455"/>
      <c r="E238" s="428" t="s">
        <v>50</v>
      </c>
      <c r="F238" s="456"/>
      <c r="G238" s="83">
        <v>44922</v>
      </c>
      <c r="H238" s="457"/>
      <c r="I238" s="338" t="s">
        <v>181</v>
      </c>
      <c r="J238" s="335" t="s">
        <v>174</v>
      </c>
      <c r="K238" s="443">
        <v>1</v>
      </c>
      <c r="L238" s="458">
        <v>16</v>
      </c>
      <c r="M238" s="137">
        <f t="shared" si="71"/>
        <v>1</v>
      </c>
      <c r="N238" s="433"/>
      <c r="O238" s="438"/>
      <c r="P238" s="87">
        <f t="shared" si="72"/>
        <v>1</v>
      </c>
      <c r="Q238" s="712">
        <f t="shared" si="70"/>
        <v>0</v>
      </c>
    </row>
    <row r="239" spans="1:17" s="9" customFormat="1" ht="32.25" customHeight="1" x14ac:dyDescent="0.25">
      <c r="A239" s="89"/>
      <c r="B239" s="379"/>
      <c r="C239" s="813"/>
      <c r="D239" s="455"/>
      <c r="E239" s="428" t="s">
        <v>50</v>
      </c>
      <c r="F239" s="456"/>
      <c r="G239" s="83">
        <v>44922</v>
      </c>
      <c r="H239" s="457"/>
      <c r="I239" s="338" t="s">
        <v>183</v>
      </c>
      <c r="J239" s="335" t="s">
        <v>187</v>
      </c>
      <c r="K239" s="443">
        <v>1</v>
      </c>
      <c r="L239" s="458">
        <v>17</v>
      </c>
      <c r="M239" s="137">
        <f t="shared" si="71"/>
        <v>1</v>
      </c>
      <c r="N239" s="433"/>
      <c r="O239" s="438"/>
      <c r="P239" s="87">
        <f t="shared" si="72"/>
        <v>1</v>
      </c>
      <c r="Q239" s="712">
        <f t="shared" si="70"/>
        <v>0</v>
      </c>
    </row>
    <row r="240" spans="1:17" s="9" customFormat="1" ht="32.25" customHeight="1" x14ac:dyDescent="0.25">
      <c r="A240" s="89"/>
      <c r="B240" s="379"/>
      <c r="C240" s="813"/>
      <c r="D240" s="455"/>
      <c r="E240" s="428" t="s">
        <v>50</v>
      </c>
      <c r="F240" s="456"/>
      <c r="G240" s="83">
        <v>44922</v>
      </c>
      <c r="H240" s="457"/>
      <c r="I240" s="338" t="s">
        <v>182</v>
      </c>
      <c r="J240" s="335" t="s">
        <v>186</v>
      </c>
      <c r="K240" s="443">
        <v>1</v>
      </c>
      <c r="L240" s="458">
        <v>18</v>
      </c>
      <c r="M240" s="137">
        <f t="shared" si="71"/>
        <v>1</v>
      </c>
      <c r="N240" s="433"/>
      <c r="O240" s="438"/>
      <c r="P240" s="87">
        <f t="shared" si="72"/>
        <v>1</v>
      </c>
      <c r="Q240" s="712">
        <f t="shared" si="70"/>
        <v>0</v>
      </c>
    </row>
    <row r="241" spans="1:17" s="9" customFormat="1" ht="32.25" customHeight="1" x14ac:dyDescent="0.25">
      <c r="A241" s="89"/>
      <c r="B241" s="379"/>
      <c r="C241" s="813"/>
      <c r="D241" s="455"/>
      <c r="E241" s="428" t="s">
        <v>50</v>
      </c>
      <c r="F241" s="456"/>
      <c r="G241" s="83">
        <v>44922</v>
      </c>
      <c r="H241" s="457"/>
      <c r="I241" s="338" t="s">
        <v>184</v>
      </c>
      <c r="J241" s="335" t="s">
        <v>185</v>
      </c>
      <c r="K241" s="443">
        <v>1</v>
      </c>
      <c r="L241" s="458"/>
      <c r="M241" s="137">
        <f t="shared" si="71"/>
        <v>1</v>
      </c>
      <c r="N241" s="433"/>
      <c r="O241" s="438"/>
      <c r="P241" s="87">
        <f t="shared" si="72"/>
        <v>1</v>
      </c>
      <c r="Q241" s="712">
        <f t="shared" si="70"/>
        <v>0</v>
      </c>
    </row>
    <row r="242" spans="1:17" s="9" customFormat="1" ht="42" customHeight="1" x14ac:dyDescent="0.25">
      <c r="A242" s="89"/>
      <c r="B242" s="379"/>
      <c r="C242" s="813"/>
      <c r="D242" s="455"/>
      <c r="E242" s="428" t="s">
        <v>50</v>
      </c>
      <c r="F242" s="456"/>
      <c r="G242" s="83">
        <v>44922</v>
      </c>
      <c r="H242" s="457"/>
      <c r="I242" s="338" t="s">
        <v>188</v>
      </c>
      <c r="J242" s="335" t="s">
        <v>195</v>
      </c>
      <c r="K242" s="443">
        <v>1</v>
      </c>
      <c r="L242" s="458"/>
      <c r="M242" s="137">
        <f t="shared" si="71"/>
        <v>1</v>
      </c>
      <c r="N242" s="433"/>
      <c r="O242" s="438"/>
      <c r="P242" s="87">
        <f t="shared" si="72"/>
        <v>1</v>
      </c>
      <c r="Q242" s="712">
        <f t="shared" si="70"/>
        <v>0</v>
      </c>
    </row>
    <row r="243" spans="1:17" s="9" customFormat="1" ht="32.25" customHeight="1" x14ac:dyDescent="0.25">
      <c r="A243" s="89"/>
      <c r="B243" s="379"/>
      <c r="C243" s="813"/>
      <c r="D243" s="455"/>
      <c r="E243" s="428" t="s">
        <v>50</v>
      </c>
      <c r="F243" s="456"/>
      <c r="G243" s="83">
        <v>44922</v>
      </c>
      <c r="H243" s="457"/>
      <c r="I243" s="338" t="s">
        <v>191</v>
      </c>
      <c r="J243" s="335" t="s">
        <v>198</v>
      </c>
      <c r="K243" s="443">
        <v>1</v>
      </c>
      <c r="L243" s="458"/>
      <c r="M243" s="137">
        <f t="shared" si="71"/>
        <v>1</v>
      </c>
      <c r="N243" s="433"/>
      <c r="O243" s="438"/>
      <c r="P243" s="87">
        <f t="shared" si="72"/>
        <v>1</v>
      </c>
      <c r="Q243" s="712">
        <f t="shared" si="70"/>
        <v>0</v>
      </c>
    </row>
    <row r="244" spans="1:17" s="9" customFormat="1" ht="32.25" customHeight="1" x14ac:dyDescent="0.25">
      <c r="A244" s="89"/>
      <c r="B244" s="379"/>
      <c r="C244" s="813"/>
      <c r="D244" s="455"/>
      <c r="E244" s="428" t="s">
        <v>50</v>
      </c>
      <c r="F244" s="456"/>
      <c r="G244" s="83">
        <v>44922</v>
      </c>
      <c r="H244" s="457"/>
      <c r="I244" s="338" t="s">
        <v>192</v>
      </c>
      <c r="J244" s="335" t="s">
        <v>199</v>
      </c>
      <c r="K244" s="443">
        <v>1</v>
      </c>
      <c r="L244" s="458"/>
      <c r="M244" s="137">
        <f t="shared" si="71"/>
        <v>1</v>
      </c>
      <c r="N244" s="433"/>
      <c r="O244" s="438"/>
      <c r="P244" s="87">
        <f t="shared" si="72"/>
        <v>1</v>
      </c>
      <c r="Q244" s="712">
        <f t="shared" si="70"/>
        <v>0</v>
      </c>
    </row>
    <row r="245" spans="1:17" s="9" customFormat="1" ht="32.25" customHeight="1" x14ac:dyDescent="0.25">
      <c r="A245" s="89"/>
      <c r="B245" s="379"/>
      <c r="C245" s="813"/>
      <c r="D245" s="455"/>
      <c r="E245" s="428" t="s">
        <v>50</v>
      </c>
      <c r="F245" s="456"/>
      <c r="G245" s="83">
        <v>44922</v>
      </c>
      <c r="H245" s="457"/>
      <c r="I245" s="338" t="s">
        <v>193</v>
      </c>
      <c r="J245" s="335" t="s">
        <v>200</v>
      </c>
      <c r="K245" s="443">
        <v>1</v>
      </c>
      <c r="L245" s="458"/>
      <c r="M245" s="137">
        <f t="shared" si="71"/>
        <v>1</v>
      </c>
      <c r="N245" s="433"/>
      <c r="O245" s="438"/>
      <c r="P245" s="87">
        <f t="shared" si="72"/>
        <v>1</v>
      </c>
      <c r="Q245" s="712">
        <f t="shared" si="70"/>
        <v>0</v>
      </c>
    </row>
    <row r="246" spans="1:17" s="9" customFormat="1" ht="32.25" customHeight="1" x14ac:dyDescent="0.25">
      <c r="A246" s="89"/>
      <c r="B246" s="379"/>
      <c r="C246" s="813"/>
      <c r="D246" s="455"/>
      <c r="E246" s="428" t="s">
        <v>50</v>
      </c>
      <c r="F246" s="456"/>
      <c r="G246" s="83">
        <v>44922</v>
      </c>
      <c r="H246" s="457"/>
      <c r="I246" s="338" t="s">
        <v>194</v>
      </c>
      <c r="J246" s="335" t="s">
        <v>201</v>
      </c>
      <c r="K246" s="443">
        <v>1</v>
      </c>
      <c r="L246" s="458"/>
      <c r="M246" s="137">
        <f t="shared" si="71"/>
        <v>1</v>
      </c>
      <c r="N246" s="433"/>
      <c r="O246" s="438"/>
      <c r="P246" s="87">
        <f t="shared" si="72"/>
        <v>1</v>
      </c>
      <c r="Q246" s="712">
        <f t="shared" si="70"/>
        <v>0</v>
      </c>
    </row>
    <row r="247" spans="1:17" s="154" customFormat="1" ht="22.65" customHeight="1" x14ac:dyDescent="0.25">
      <c r="A247" s="143" t="s">
        <v>26</v>
      </c>
      <c r="B247" s="144"/>
      <c r="C247" s="150"/>
      <c r="D247" s="146"/>
      <c r="E247" s="146"/>
      <c r="F247" s="147"/>
      <c r="G247" s="147"/>
      <c r="H247" s="370"/>
      <c r="I247" s="149"/>
      <c r="J247" s="184"/>
      <c r="K247" s="150"/>
      <c r="L247" s="152"/>
      <c r="M247" s="153"/>
      <c r="N247" s="151"/>
      <c r="O247" s="152"/>
      <c r="P247" s="153"/>
      <c r="Q247" s="712">
        <f t="shared" si="70"/>
        <v>0</v>
      </c>
    </row>
    <row r="248" spans="1:17" s="40" customFormat="1" ht="20.25" customHeight="1" x14ac:dyDescent="0.3">
      <c r="A248" s="743" t="s">
        <v>46</v>
      </c>
      <c r="B248" s="735"/>
      <c r="C248" s="736"/>
      <c r="D248" s="737"/>
      <c r="E248" s="737"/>
      <c r="F248" s="738"/>
      <c r="G248" s="738"/>
      <c r="H248" s="155"/>
      <c r="J248" s="739"/>
      <c r="K248" s="740"/>
      <c r="L248" s="155"/>
      <c r="M248" s="741"/>
      <c r="N248" s="741"/>
      <c r="O248" s="155"/>
      <c r="P248" s="741"/>
      <c r="Q248" s="712">
        <f t="shared" si="70"/>
        <v>0</v>
      </c>
    </row>
    <row r="249" spans="1:17" s="121" customFormat="1" ht="24" customHeight="1" x14ac:dyDescent="0.25">
      <c r="A249" s="721"/>
      <c r="B249" s="744"/>
      <c r="C249" s="704" t="s">
        <v>1</v>
      </c>
      <c r="D249" s="73"/>
      <c r="E249" s="745" t="s">
        <v>49</v>
      </c>
      <c r="F249" s="746">
        <v>1111302.06</v>
      </c>
      <c r="G249" s="747">
        <v>43809</v>
      </c>
      <c r="H249" s="748"/>
      <c r="I249" s="749" t="s">
        <v>64</v>
      </c>
      <c r="J249" s="750" t="s">
        <v>65</v>
      </c>
      <c r="K249" s="751">
        <v>1</v>
      </c>
      <c r="L249" s="752"/>
      <c r="M249" s="753">
        <f>K249</f>
        <v>1</v>
      </c>
      <c r="N249" s="754"/>
      <c r="O249" s="752"/>
      <c r="P249" s="755">
        <f t="shared" ref="P249:P263" si="73">K249-N249</f>
        <v>1</v>
      </c>
      <c r="Q249" s="712">
        <f t="shared" si="70"/>
        <v>0</v>
      </c>
    </row>
    <row r="250" spans="1:17" s="121" customFormat="1" ht="24" customHeight="1" x14ac:dyDescent="0.25">
      <c r="A250" s="78"/>
      <c r="B250" s="78"/>
      <c r="C250" s="343"/>
      <c r="D250" s="351" t="s">
        <v>992</v>
      </c>
      <c r="E250" s="337" t="s">
        <v>701</v>
      </c>
      <c r="F250" s="672"/>
      <c r="G250" s="94">
        <v>45355</v>
      </c>
      <c r="H250" s="90"/>
      <c r="I250" s="392" t="s">
        <v>819</v>
      </c>
      <c r="J250" s="393" t="s">
        <v>818</v>
      </c>
      <c r="K250" s="742">
        <v>1</v>
      </c>
      <c r="L250" s="347"/>
      <c r="M250" s="394">
        <f>K250</f>
        <v>1</v>
      </c>
      <c r="N250" s="395"/>
      <c r="O250" s="347"/>
      <c r="P250" s="756">
        <f t="shared" si="73"/>
        <v>1</v>
      </c>
      <c r="Q250" s="712"/>
    </row>
    <row r="251" spans="1:17" s="121" customFormat="1" ht="23.25" customHeight="1" x14ac:dyDescent="0.25">
      <c r="A251" s="78"/>
      <c r="B251" s="78"/>
      <c r="C251" s="343"/>
      <c r="D251" s="80"/>
      <c r="E251" s="341" t="s">
        <v>49</v>
      </c>
      <c r="F251" s="566">
        <v>1895587.46</v>
      </c>
      <c r="G251" s="83">
        <v>43648</v>
      </c>
      <c r="H251" s="90"/>
      <c r="I251" s="344"/>
      <c r="J251" s="345" t="s">
        <v>62</v>
      </c>
      <c r="K251" s="346">
        <v>1</v>
      </c>
      <c r="L251" s="347"/>
      <c r="M251" s="348">
        <f>K251</f>
        <v>1</v>
      </c>
      <c r="N251" s="349"/>
      <c r="O251" s="347"/>
      <c r="P251" s="756">
        <f t="shared" si="73"/>
        <v>1</v>
      </c>
      <c r="Q251" s="712">
        <f t="shared" si="70"/>
        <v>0</v>
      </c>
    </row>
    <row r="252" spans="1:17" s="121" customFormat="1" ht="25.5" customHeight="1" x14ac:dyDescent="0.25">
      <c r="A252" s="78"/>
      <c r="B252" s="78"/>
      <c r="C252" s="343"/>
      <c r="D252" s="80"/>
      <c r="E252" s="341" t="s">
        <v>49</v>
      </c>
      <c r="F252" s="566">
        <v>318733.33</v>
      </c>
      <c r="G252" s="452">
        <v>44776</v>
      </c>
      <c r="H252" s="90"/>
      <c r="I252" s="344" t="s">
        <v>122</v>
      </c>
      <c r="J252" s="362" t="s">
        <v>121</v>
      </c>
      <c r="K252" s="346">
        <v>1</v>
      </c>
      <c r="L252" s="347"/>
      <c r="M252" s="348">
        <f t="shared" ref="M252:M263" si="74">K252</f>
        <v>1</v>
      </c>
      <c r="N252" s="585"/>
      <c r="O252" s="347"/>
      <c r="P252" s="756">
        <f t="shared" si="73"/>
        <v>1</v>
      </c>
      <c r="Q252" s="712">
        <f t="shared" si="70"/>
        <v>0</v>
      </c>
    </row>
    <row r="253" spans="1:17" s="121" customFormat="1" ht="25.5" customHeight="1" x14ac:dyDescent="0.25">
      <c r="A253" s="78"/>
      <c r="B253" s="78"/>
      <c r="C253" s="343"/>
      <c r="D253" s="80"/>
      <c r="E253" s="611" t="s">
        <v>49</v>
      </c>
      <c r="F253" s="673">
        <v>73334.22</v>
      </c>
      <c r="G253" s="613">
        <v>45077</v>
      </c>
      <c r="H253" s="90"/>
      <c r="I253" s="604" t="s">
        <v>285</v>
      </c>
      <c r="J253" s="605" t="s">
        <v>286</v>
      </c>
      <c r="K253" s="606">
        <v>1</v>
      </c>
      <c r="L253" s="607"/>
      <c r="M253" s="608">
        <f t="shared" si="74"/>
        <v>1</v>
      </c>
      <c r="N253" s="609"/>
      <c r="O253" s="607"/>
      <c r="P253" s="757">
        <f t="shared" si="73"/>
        <v>1</v>
      </c>
      <c r="Q253" s="712">
        <f t="shared" si="70"/>
        <v>0</v>
      </c>
    </row>
    <row r="254" spans="1:17" s="121" customFormat="1" ht="25.5" customHeight="1" x14ac:dyDescent="0.25">
      <c r="A254" s="78"/>
      <c r="B254" s="78"/>
      <c r="C254" s="343"/>
      <c r="D254" s="80"/>
      <c r="E254" s="611" t="s">
        <v>49</v>
      </c>
      <c r="F254" s="673">
        <v>199735.25</v>
      </c>
      <c r="G254" s="613">
        <v>45077</v>
      </c>
      <c r="H254" s="90"/>
      <c r="I254" s="604" t="s">
        <v>287</v>
      </c>
      <c r="J254" s="605" t="s">
        <v>529</v>
      </c>
      <c r="K254" s="606">
        <v>1</v>
      </c>
      <c r="L254" s="607"/>
      <c r="M254" s="608">
        <f t="shared" si="74"/>
        <v>1</v>
      </c>
      <c r="N254" s="609"/>
      <c r="O254" s="607"/>
      <c r="P254" s="757">
        <f t="shared" si="73"/>
        <v>1</v>
      </c>
      <c r="Q254" s="712">
        <f t="shared" si="70"/>
        <v>0</v>
      </c>
    </row>
    <row r="255" spans="1:17" s="121" customFormat="1" ht="23.25" customHeight="1" x14ac:dyDescent="0.25">
      <c r="A255" s="78"/>
      <c r="B255" s="78"/>
      <c r="C255" s="343"/>
      <c r="D255" s="504"/>
      <c r="E255" s="341" t="s">
        <v>667</v>
      </c>
      <c r="F255" s="674"/>
      <c r="G255" s="505">
        <v>45341</v>
      </c>
      <c r="H255" s="64"/>
      <c r="I255" s="344" t="s">
        <v>784</v>
      </c>
      <c r="J255" s="362" t="s">
        <v>783</v>
      </c>
      <c r="K255" s="346">
        <v>1</v>
      </c>
      <c r="L255" s="506"/>
      <c r="M255" s="348">
        <f t="shared" si="74"/>
        <v>1</v>
      </c>
      <c r="N255" s="487"/>
      <c r="O255" s="347"/>
      <c r="P255" s="756">
        <f t="shared" si="73"/>
        <v>1</v>
      </c>
      <c r="Q255" s="712">
        <f t="shared" si="70"/>
        <v>0</v>
      </c>
    </row>
    <row r="256" spans="1:17" s="121" customFormat="1" ht="23.25" customHeight="1" x14ac:dyDescent="0.25">
      <c r="A256" s="78"/>
      <c r="B256" s="78"/>
      <c r="C256" s="343"/>
      <c r="D256" s="504"/>
      <c r="E256" s="341" t="s">
        <v>850</v>
      </c>
      <c r="F256" s="674"/>
      <c r="G256" s="505">
        <v>45365</v>
      </c>
      <c r="H256" s="64"/>
      <c r="I256" s="344" t="s">
        <v>852</v>
      </c>
      <c r="J256" s="362" t="s">
        <v>851</v>
      </c>
      <c r="K256" s="346">
        <v>1</v>
      </c>
      <c r="L256" s="506"/>
      <c r="M256" s="348">
        <f t="shared" si="74"/>
        <v>1</v>
      </c>
      <c r="N256" s="487"/>
      <c r="O256" s="347"/>
      <c r="P256" s="756">
        <f t="shared" si="73"/>
        <v>1</v>
      </c>
      <c r="Q256" s="712"/>
    </row>
    <row r="257" spans="1:17" s="121" customFormat="1" ht="23.25" customHeight="1" x14ac:dyDescent="0.25">
      <c r="A257" s="78"/>
      <c r="B257" s="78"/>
      <c r="C257" s="343"/>
      <c r="D257" s="504"/>
      <c r="E257" s="341" t="s">
        <v>706</v>
      </c>
      <c r="F257" s="674"/>
      <c r="G257" s="505">
        <v>45306</v>
      </c>
      <c r="H257" s="64"/>
      <c r="I257" s="344" t="s">
        <v>711</v>
      </c>
      <c r="J257" s="362" t="s">
        <v>708</v>
      </c>
      <c r="K257" s="346">
        <v>4</v>
      </c>
      <c r="L257" s="506"/>
      <c r="M257" s="348">
        <f t="shared" si="74"/>
        <v>4</v>
      </c>
      <c r="N257" s="487"/>
      <c r="O257" s="347"/>
      <c r="P257" s="756">
        <f t="shared" si="73"/>
        <v>4</v>
      </c>
      <c r="Q257" s="712">
        <f t="shared" si="70"/>
        <v>0</v>
      </c>
    </row>
    <row r="258" spans="1:17" s="121" customFormat="1" ht="23.25" customHeight="1" x14ac:dyDescent="0.25">
      <c r="A258" s="78"/>
      <c r="B258" s="78"/>
      <c r="C258" s="343"/>
      <c r="D258" s="504"/>
      <c r="E258" s="341" t="s">
        <v>706</v>
      </c>
      <c r="F258" s="674">
        <v>14096.27</v>
      </c>
      <c r="G258" s="505">
        <v>45306</v>
      </c>
      <c r="H258" s="64"/>
      <c r="I258" s="344" t="s">
        <v>712</v>
      </c>
      <c r="J258" s="362" t="s">
        <v>709</v>
      </c>
      <c r="K258" s="346">
        <v>1</v>
      </c>
      <c r="L258" s="506"/>
      <c r="M258" s="348">
        <f t="shared" si="74"/>
        <v>1</v>
      </c>
      <c r="N258" s="487"/>
      <c r="O258" s="347"/>
      <c r="P258" s="756">
        <f t="shared" si="73"/>
        <v>1</v>
      </c>
      <c r="Q258" s="712">
        <f t="shared" si="70"/>
        <v>0</v>
      </c>
    </row>
    <row r="259" spans="1:17" s="121" customFormat="1" ht="23.25" customHeight="1" x14ac:dyDescent="0.25">
      <c r="A259" s="78"/>
      <c r="B259" s="78"/>
      <c r="C259" s="343"/>
      <c r="D259" s="504"/>
      <c r="E259" s="341" t="s">
        <v>706</v>
      </c>
      <c r="F259" s="674"/>
      <c r="G259" s="505">
        <v>45386</v>
      </c>
      <c r="H259" s="64"/>
      <c r="I259" s="344" t="s">
        <v>920</v>
      </c>
      <c r="J259" s="362" t="s">
        <v>921</v>
      </c>
      <c r="K259" s="346">
        <v>1</v>
      </c>
      <c r="L259" s="506"/>
      <c r="M259" s="348">
        <f t="shared" si="74"/>
        <v>1</v>
      </c>
      <c r="N259" s="487"/>
      <c r="O259" s="347"/>
      <c r="P259" s="756">
        <f t="shared" si="73"/>
        <v>1</v>
      </c>
      <c r="Q259" s="712">
        <f t="shared" si="70"/>
        <v>0</v>
      </c>
    </row>
    <row r="260" spans="1:17" s="121" customFormat="1" ht="27.75" customHeight="1" x14ac:dyDescent="0.25">
      <c r="A260" s="78"/>
      <c r="B260" s="78"/>
      <c r="C260" s="343"/>
      <c r="D260" s="504"/>
      <c r="E260" s="341" t="s">
        <v>49</v>
      </c>
      <c r="F260" s="674">
        <v>282465.37</v>
      </c>
      <c r="G260" s="505">
        <v>45085</v>
      </c>
      <c r="H260" s="64"/>
      <c r="I260" s="344" t="s">
        <v>283</v>
      </c>
      <c r="J260" s="362" t="s">
        <v>282</v>
      </c>
      <c r="K260" s="346">
        <v>1</v>
      </c>
      <c r="L260" s="506"/>
      <c r="M260" s="348">
        <f t="shared" si="74"/>
        <v>1</v>
      </c>
      <c r="N260" s="487"/>
      <c r="O260" s="347"/>
      <c r="P260" s="756">
        <f t="shared" si="73"/>
        <v>1</v>
      </c>
      <c r="Q260" s="712">
        <f t="shared" si="70"/>
        <v>0</v>
      </c>
    </row>
    <row r="261" spans="1:17" s="121" customFormat="1" ht="27.75" customHeight="1" x14ac:dyDescent="0.25">
      <c r="A261" s="78"/>
      <c r="B261" s="78"/>
      <c r="C261" s="343"/>
      <c r="D261" s="504"/>
      <c r="E261" s="341" t="s">
        <v>667</v>
      </c>
      <c r="F261" s="674"/>
      <c r="G261" s="505">
        <v>45404</v>
      </c>
      <c r="H261" s="64"/>
      <c r="I261" s="344" t="s">
        <v>991</v>
      </c>
      <c r="J261" s="362" t="s">
        <v>990</v>
      </c>
      <c r="K261" s="346">
        <v>1</v>
      </c>
      <c r="L261" s="506"/>
      <c r="M261" s="348">
        <f t="shared" si="74"/>
        <v>1</v>
      </c>
      <c r="N261" s="487"/>
      <c r="O261" s="347"/>
      <c r="P261" s="756">
        <f t="shared" si="73"/>
        <v>1</v>
      </c>
      <c r="Q261" s="712">
        <f t="shared" si="70"/>
        <v>0</v>
      </c>
    </row>
    <row r="262" spans="1:17" s="121" customFormat="1" ht="23.25" customHeight="1" x14ac:dyDescent="0.25">
      <c r="A262" s="78"/>
      <c r="B262" s="78"/>
      <c r="C262" s="343"/>
      <c r="D262" s="504"/>
      <c r="E262" s="341" t="s">
        <v>49</v>
      </c>
      <c r="F262" s="674">
        <v>46047.15</v>
      </c>
      <c r="G262" s="505">
        <v>45058</v>
      </c>
      <c r="H262" s="64"/>
      <c r="I262" s="344" t="s">
        <v>271</v>
      </c>
      <c r="J262" s="362" t="s">
        <v>272</v>
      </c>
      <c r="K262" s="346">
        <v>1</v>
      </c>
      <c r="L262" s="506"/>
      <c r="M262" s="348">
        <f t="shared" si="74"/>
        <v>1</v>
      </c>
      <c r="N262" s="487"/>
      <c r="O262" s="347"/>
      <c r="P262" s="756">
        <f t="shared" si="73"/>
        <v>1</v>
      </c>
      <c r="Q262" s="712">
        <f t="shared" si="70"/>
        <v>0</v>
      </c>
    </row>
    <row r="263" spans="1:17" s="121" customFormat="1" ht="24" customHeight="1" x14ac:dyDescent="0.25">
      <c r="A263" s="162"/>
      <c r="B263" s="162"/>
      <c r="C263" s="648"/>
      <c r="D263" s="253"/>
      <c r="E263" s="492" t="s">
        <v>49</v>
      </c>
      <c r="F263" s="675">
        <v>155538.71</v>
      </c>
      <c r="G263" s="494">
        <v>43508</v>
      </c>
      <c r="H263" s="495"/>
      <c r="I263" s="496" t="s">
        <v>57</v>
      </c>
      <c r="J263" s="497" t="s">
        <v>58</v>
      </c>
      <c r="K263" s="498">
        <v>1</v>
      </c>
      <c r="L263" s="499"/>
      <c r="M263" s="500">
        <f t="shared" si="74"/>
        <v>1</v>
      </c>
      <c r="N263" s="501"/>
      <c r="O263" s="499"/>
      <c r="P263" s="758">
        <f t="shared" si="73"/>
        <v>1</v>
      </c>
      <c r="Q263" s="712">
        <f t="shared" si="70"/>
        <v>0</v>
      </c>
    </row>
    <row r="264" spans="1:17" s="154" customFormat="1" ht="22.65" customHeight="1" x14ac:dyDescent="0.25">
      <c r="A264" s="491" t="s">
        <v>47</v>
      </c>
      <c r="B264" s="381"/>
      <c r="C264" s="387"/>
      <c r="D264" s="383"/>
      <c r="E264" s="383"/>
      <c r="F264" s="676">
        <f>SUM(F249:F263)</f>
        <v>4096839.8200000003</v>
      </c>
      <c r="G264" s="384"/>
      <c r="H264" s="370"/>
      <c r="I264" s="385"/>
      <c r="J264" s="386"/>
      <c r="K264" s="387"/>
      <c r="L264" s="152"/>
      <c r="M264" s="389"/>
      <c r="N264" s="388"/>
      <c r="O264" s="152"/>
      <c r="P264" s="389"/>
      <c r="Q264" s="712">
        <f t="shared" si="70"/>
        <v>0</v>
      </c>
    </row>
    <row r="265" spans="1:17" s="195" customFormat="1" ht="21" customHeight="1" x14ac:dyDescent="0.25">
      <c r="A265" s="185" t="s">
        <v>23</v>
      </c>
      <c r="B265" s="186"/>
      <c r="C265" s="192"/>
      <c r="D265" s="188"/>
      <c r="E265" s="188"/>
      <c r="F265" s="576">
        <f>F191+F187+F176+F129+F99+F12+F264+F247+F225+F194+F41</f>
        <v>10344650.16</v>
      </c>
      <c r="G265" s="189"/>
      <c r="H265" s="371"/>
      <c r="I265" s="191"/>
      <c r="J265" s="186"/>
      <c r="K265" s="192">
        <f>SUM(K13:K264)</f>
        <v>2868</v>
      </c>
      <c r="L265" s="194"/>
      <c r="M265" s="192">
        <f>SUM(M13:M264)</f>
        <v>2807</v>
      </c>
      <c r="N265" s="533">
        <f>SUM(N13:N264)</f>
        <v>18</v>
      </c>
      <c r="O265" s="194"/>
      <c r="P265" s="192">
        <f>SUM(P13:P264)</f>
        <v>2789</v>
      </c>
      <c r="Q265" s="712">
        <f t="shared" si="70"/>
        <v>18</v>
      </c>
    </row>
    <row r="266" spans="1:17" s="40" customFormat="1" ht="23.25" hidden="1" customHeight="1" x14ac:dyDescent="0.3">
      <c r="A266" s="196" t="s">
        <v>4</v>
      </c>
      <c r="B266" s="36"/>
      <c r="C266" s="638"/>
      <c r="D266" s="38"/>
      <c r="E266" s="38"/>
      <c r="F266" s="39"/>
      <c r="G266" s="39"/>
      <c r="H266" s="197"/>
      <c r="I266" s="198"/>
      <c r="J266" s="156"/>
      <c r="K266" s="157"/>
      <c r="L266" s="197"/>
      <c r="M266" s="158"/>
      <c r="N266" s="158"/>
      <c r="O266" s="197"/>
      <c r="P266" s="158"/>
    </row>
    <row r="267" spans="1:17" s="40" customFormat="1" ht="23.25" hidden="1" customHeight="1" x14ac:dyDescent="0.3">
      <c r="A267" s="199" t="s">
        <v>6</v>
      </c>
      <c r="B267" s="200"/>
      <c r="C267" s="645"/>
      <c r="D267" s="38"/>
      <c r="E267" s="38"/>
      <c r="F267" s="39"/>
      <c r="G267" s="39"/>
      <c r="H267" s="202"/>
      <c r="I267" s="203"/>
      <c r="J267" s="156"/>
      <c r="K267" s="204"/>
      <c r="L267" s="155"/>
      <c r="M267" s="159"/>
      <c r="N267" s="159"/>
      <c r="O267" s="155"/>
      <c r="P267" s="159"/>
    </row>
    <row r="268" spans="1:17" s="9" customFormat="1" ht="16.5" hidden="1" customHeight="1" x14ac:dyDescent="0.25">
      <c r="A268" s="97"/>
      <c r="B268" s="96" t="s">
        <v>36</v>
      </c>
      <c r="C268" s="642"/>
      <c r="D268" s="98"/>
      <c r="E268" s="99"/>
      <c r="F268" s="100"/>
      <c r="G268" s="101"/>
      <c r="H268" s="102"/>
      <c r="I268" s="103"/>
      <c r="J268" s="105"/>
      <c r="K268" s="106"/>
      <c r="L268" s="53"/>
      <c r="M268" s="54"/>
      <c r="N268" s="55"/>
      <c r="O268" s="53"/>
      <c r="P268" s="54"/>
    </row>
    <row r="269" spans="1:17" s="121" customFormat="1" ht="24.75" hidden="1" customHeight="1" x14ac:dyDescent="0.25">
      <c r="A269" s="116"/>
      <c r="B269" s="117"/>
      <c r="C269" s="808"/>
      <c r="D269" s="73"/>
      <c r="E269" s="92"/>
      <c r="F269" s="82"/>
      <c r="G269" s="83"/>
      <c r="H269" s="134"/>
      <c r="I269" s="118"/>
      <c r="J269" s="205"/>
      <c r="K269" s="120"/>
      <c r="L269" s="135"/>
      <c r="M269" s="87">
        <f>K269</f>
        <v>0</v>
      </c>
      <c r="N269" s="136" t="e">
        <f>#REF!</f>
        <v>#REF!</v>
      </c>
      <c r="O269" s="135"/>
      <c r="P269" s="69" t="e">
        <f>K269-N269</f>
        <v>#REF!</v>
      </c>
    </row>
    <row r="270" spans="1:17" s="121" customFormat="1" ht="30.75" hidden="1" customHeight="1" x14ac:dyDescent="0.25">
      <c r="A270" s="162"/>
      <c r="B270" s="163"/>
      <c r="C270" s="809"/>
      <c r="D270" s="422"/>
      <c r="E270" s="92"/>
      <c r="F270" s="93"/>
      <c r="G270" s="206"/>
      <c r="H270" s="134"/>
      <c r="I270" s="95"/>
      <c r="J270" s="207"/>
      <c r="K270" s="353"/>
      <c r="L270" s="135"/>
      <c r="M270" s="137">
        <f>K270</f>
        <v>0</v>
      </c>
      <c r="N270" s="136" t="e">
        <f>#REF!</f>
        <v>#REF!</v>
      </c>
      <c r="O270" s="135"/>
      <c r="P270" s="137" t="e">
        <f>K270-N270</f>
        <v>#REF!</v>
      </c>
    </row>
    <row r="271" spans="1:17" s="56" customFormat="1" ht="15" hidden="1" x14ac:dyDescent="0.25">
      <c r="A271" s="41"/>
      <c r="B271" s="42" t="s">
        <v>27</v>
      </c>
      <c r="C271" s="639"/>
      <c r="D271" s="44"/>
      <c r="E271" s="45"/>
      <c r="F271" s="46"/>
      <c r="G271" s="47"/>
      <c r="H271" s="48"/>
      <c r="I271" s="49"/>
      <c r="J271" s="50"/>
      <c r="K271" s="51"/>
      <c r="L271" s="53"/>
      <c r="M271" s="54"/>
      <c r="N271" s="55"/>
      <c r="O271" s="53"/>
      <c r="P271" s="54"/>
    </row>
    <row r="272" spans="1:17" s="9" customFormat="1" ht="13.2" hidden="1" x14ac:dyDescent="0.25">
      <c r="A272" s="57"/>
      <c r="B272" s="58"/>
      <c r="C272" s="649"/>
      <c r="D272" s="60"/>
      <c r="E272" s="107"/>
      <c r="F272" s="82"/>
      <c r="G272" s="83"/>
      <c r="H272" s="114"/>
      <c r="I272" s="65"/>
      <c r="J272" s="66"/>
      <c r="K272" s="67"/>
      <c r="L272" s="115"/>
      <c r="M272" s="71">
        <f>K272</f>
        <v>0</v>
      </c>
      <c r="N272" s="70" t="e">
        <f>#REF!</f>
        <v>#REF!</v>
      </c>
      <c r="O272" s="115"/>
      <c r="P272" s="71" t="e">
        <f>K272-N272</f>
        <v>#REF!</v>
      </c>
    </row>
    <row r="273" spans="1:16" s="9" customFormat="1" ht="16.5" hidden="1" customHeight="1" x14ac:dyDescent="0.25">
      <c r="A273" s="97"/>
      <c r="B273" s="96" t="s">
        <v>28</v>
      </c>
      <c r="C273" s="642"/>
      <c r="D273" s="98"/>
      <c r="E273" s="99"/>
      <c r="F273" s="100"/>
      <c r="G273" s="101"/>
      <c r="H273" s="102"/>
      <c r="I273" s="103"/>
      <c r="J273" s="105"/>
      <c r="K273" s="106"/>
      <c r="L273" s="53"/>
      <c r="M273" s="54"/>
      <c r="N273" s="55"/>
      <c r="O273" s="53"/>
      <c r="P273" s="54"/>
    </row>
    <row r="274" spans="1:16" s="9" customFormat="1" ht="13.2" hidden="1" x14ac:dyDescent="0.25">
      <c r="A274" s="57"/>
      <c r="B274" s="58"/>
      <c r="C274" s="650"/>
      <c r="D274" s="60"/>
      <c r="E274" s="61"/>
      <c r="F274" s="62"/>
      <c r="G274" s="63"/>
      <c r="H274" s="64"/>
      <c r="I274" s="65"/>
      <c r="J274" s="209"/>
      <c r="K274" s="67"/>
      <c r="L274" s="68"/>
      <c r="M274" s="71">
        <f>K274</f>
        <v>0</v>
      </c>
      <c r="N274" s="160" t="e">
        <f>#REF!</f>
        <v>#REF!</v>
      </c>
      <c r="O274" s="68"/>
      <c r="P274" s="71" t="e">
        <f>K274-N274</f>
        <v>#REF!</v>
      </c>
    </row>
    <row r="275" spans="1:16" s="9" customFormat="1" ht="16.5" hidden="1" customHeight="1" x14ac:dyDescent="0.25">
      <c r="A275" s="97"/>
      <c r="B275" s="96" t="s">
        <v>30</v>
      </c>
      <c r="C275" s="642"/>
      <c r="D275" s="98"/>
      <c r="E275" s="99"/>
      <c r="F275" s="100"/>
      <c r="G275" s="101"/>
      <c r="H275" s="102"/>
      <c r="I275" s="103"/>
      <c r="J275" s="105"/>
      <c r="K275" s="106"/>
      <c r="L275" s="53"/>
      <c r="M275" s="54"/>
      <c r="N275" s="55"/>
      <c r="O275" s="53"/>
      <c r="P275" s="54"/>
    </row>
    <row r="276" spans="1:16" s="9" customFormat="1" ht="13.2" hidden="1" x14ac:dyDescent="0.25">
      <c r="A276" s="57"/>
      <c r="B276" s="58"/>
      <c r="C276" s="650"/>
      <c r="D276" s="60"/>
      <c r="E276" s="61"/>
      <c r="F276" s="62"/>
      <c r="G276" s="63"/>
      <c r="H276" s="114"/>
      <c r="I276" s="65"/>
      <c r="J276" s="210"/>
      <c r="K276" s="67"/>
      <c r="L276" s="68"/>
      <c r="M276" s="71"/>
      <c r="N276" s="160"/>
      <c r="O276" s="68"/>
      <c r="P276" s="71">
        <f>K276-N276</f>
        <v>0</v>
      </c>
    </row>
    <row r="277" spans="1:16" s="9" customFormat="1" ht="16.5" hidden="1" customHeight="1" x14ac:dyDescent="0.25">
      <c r="A277" s="97"/>
      <c r="B277" s="96" t="s">
        <v>31</v>
      </c>
      <c r="C277" s="642"/>
      <c r="D277" s="98"/>
      <c r="E277" s="99"/>
      <c r="F277" s="100"/>
      <c r="G277" s="101"/>
      <c r="H277" s="102"/>
      <c r="I277" s="103"/>
      <c r="J277" s="105"/>
      <c r="K277" s="106"/>
      <c r="L277" s="53"/>
      <c r="M277" s="54"/>
      <c r="N277" s="55"/>
      <c r="O277" s="53"/>
      <c r="P277" s="54"/>
    </row>
    <row r="278" spans="1:16" s="9" customFormat="1" ht="50.25" hidden="1" customHeight="1" x14ac:dyDescent="0.25">
      <c r="A278" s="57"/>
      <c r="B278" s="58"/>
      <c r="C278" s="650"/>
      <c r="D278" s="60"/>
      <c r="E278" s="61"/>
      <c r="F278" s="62"/>
      <c r="G278" s="211"/>
      <c r="H278" s="173"/>
      <c r="I278" s="212"/>
      <c r="J278" s="213"/>
      <c r="K278" s="214"/>
      <c r="L278" s="68"/>
      <c r="M278" s="71"/>
      <c r="N278" s="160" t="e">
        <f>#REF!</f>
        <v>#REF!</v>
      </c>
      <c r="O278" s="68"/>
      <c r="P278" s="71" t="e">
        <f>K278-N278</f>
        <v>#REF!</v>
      </c>
    </row>
    <row r="279" spans="1:16" s="9" customFormat="1" ht="15" hidden="1" x14ac:dyDescent="0.25">
      <c r="A279" s="97"/>
      <c r="B279" s="96" t="s">
        <v>35</v>
      </c>
      <c r="C279" s="642"/>
      <c r="D279" s="215"/>
      <c r="E279" s="105"/>
      <c r="F279" s="100"/>
      <c r="G279" s="216"/>
      <c r="H279" s="217"/>
      <c r="I279" s="218"/>
      <c r="J279" s="219"/>
      <c r="K279" s="220"/>
      <c r="L279" s="221"/>
      <c r="M279" s="222"/>
      <c r="N279" s="222"/>
      <c r="O279" s="221"/>
      <c r="P279" s="222"/>
    </row>
    <row r="280" spans="1:16" s="121" customFormat="1" ht="30.75" hidden="1" customHeight="1" x14ac:dyDescent="0.25">
      <c r="A280" s="89"/>
      <c r="B280" s="223"/>
      <c r="C280" s="651"/>
      <c r="D280" s="426"/>
      <c r="E280" s="92"/>
      <c r="F280" s="82"/>
      <c r="G280" s="94"/>
      <c r="H280" s="134"/>
      <c r="I280" s="84"/>
      <c r="J280" s="85"/>
      <c r="K280" s="86"/>
      <c r="L280" s="135"/>
      <c r="M280" s="87">
        <f>K280</f>
        <v>0</v>
      </c>
      <c r="N280" s="136" t="e">
        <f>#REF!</f>
        <v>#REF!</v>
      </c>
      <c r="O280" s="135"/>
      <c r="P280" s="137" t="e">
        <f>K280-N280</f>
        <v>#REF!</v>
      </c>
    </row>
    <row r="281" spans="1:16" s="9" customFormat="1" ht="16.5" hidden="1" customHeight="1" x14ac:dyDescent="0.25">
      <c r="A281" s="97"/>
      <c r="B281" s="96"/>
      <c r="C281" s="642" t="s">
        <v>29</v>
      </c>
      <c r="D281" s="98"/>
      <c r="E281" s="99"/>
      <c r="F281" s="100"/>
      <c r="G281" s="101"/>
      <c r="H281" s="102"/>
      <c r="I281" s="103"/>
      <c r="J281" s="105"/>
      <c r="K281" s="106"/>
      <c r="L281" s="53"/>
      <c r="M281" s="54"/>
      <c r="N281" s="55"/>
      <c r="O281" s="53"/>
      <c r="P281" s="54"/>
    </row>
    <row r="282" spans="1:16" s="121" customFormat="1" ht="24.75" hidden="1" customHeight="1" x14ac:dyDescent="0.25">
      <c r="A282" s="224"/>
      <c r="B282" s="225"/>
      <c r="C282" s="652"/>
      <c r="D282" s="227"/>
      <c r="E282" s="92"/>
      <c r="F282" s="82"/>
      <c r="G282" s="83"/>
      <c r="H282" s="134"/>
      <c r="I282" s="118"/>
      <c r="J282" s="119"/>
      <c r="K282" s="120"/>
      <c r="L282" s="127"/>
      <c r="M282" s="128">
        <f>K282</f>
        <v>0</v>
      </c>
      <c r="N282" s="129"/>
      <c r="O282" s="127"/>
      <c r="P282" s="228">
        <f>K282-N282</f>
        <v>0</v>
      </c>
    </row>
    <row r="283" spans="1:16" s="110" customFormat="1" ht="21" hidden="1" customHeight="1" x14ac:dyDescent="0.25">
      <c r="A283" s="229"/>
      <c r="B283" s="230"/>
      <c r="C283" s="652"/>
      <c r="D283" s="231"/>
      <c r="E283" s="414"/>
      <c r="F283" s="232"/>
      <c r="G283" s="231"/>
      <c r="H283" s="233"/>
      <c r="I283" s="234"/>
      <c r="J283" s="235"/>
      <c r="K283" s="236"/>
      <c r="L283" s="237"/>
      <c r="M283" s="128">
        <f>K283</f>
        <v>0</v>
      </c>
      <c r="N283" s="129"/>
      <c r="O283" s="237"/>
      <c r="P283" s="128"/>
    </row>
    <row r="284" spans="1:16" s="154" customFormat="1" ht="22.65" hidden="1" customHeight="1" collapsed="1" x14ac:dyDescent="0.25">
      <c r="A284" s="143" t="s">
        <v>2</v>
      </c>
      <c r="B284" s="144"/>
      <c r="C284" s="150"/>
      <c r="D284" s="146"/>
      <c r="E284" s="146"/>
      <c r="F284" s="147"/>
      <c r="G284" s="147"/>
      <c r="H284" s="148"/>
      <c r="I284" s="149"/>
      <c r="J284" s="184"/>
      <c r="K284" s="150"/>
      <c r="L284" s="152"/>
      <c r="M284" s="151"/>
      <c r="N284" s="151"/>
      <c r="O284" s="152"/>
      <c r="P284" s="151"/>
    </row>
    <row r="285" spans="1:16" s="40" customFormat="1" ht="23.25" hidden="1" customHeight="1" x14ac:dyDescent="0.3">
      <c r="A285" s="35" t="s">
        <v>7</v>
      </c>
      <c r="B285" s="36"/>
      <c r="C285" s="638"/>
      <c r="D285" s="38"/>
      <c r="E285" s="38"/>
      <c r="F285" s="39"/>
      <c r="G285" s="39"/>
      <c r="H285" s="197"/>
      <c r="I285" s="198"/>
      <c r="J285" s="156"/>
      <c r="K285" s="157"/>
      <c r="L285" s="155"/>
      <c r="M285" s="158"/>
      <c r="N285" s="158"/>
      <c r="O285" s="155"/>
      <c r="P285" s="158"/>
    </row>
    <row r="286" spans="1:16" s="40" customFormat="1" ht="23.25" hidden="1" customHeight="1" x14ac:dyDescent="0.3">
      <c r="A286" s="238"/>
      <c r="B286" s="239" t="s">
        <v>8</v>
      </c>
      <c r="C286" s="653"/>
      <c r="D286" s="241"/>
      <c r="E286" s="242"/>
      <c r="F286" s="243"/>
      <c r="G286" s="244"/>
      <c r="H286" s="245"/>
      <c r="I286" s="246"/>
      <c r="J286" s="247"/>
      <c r="K286" s="248"/>
      <c r="L286" s="249"/>
      <c r="M286" s="250"/>
      <c r="N286" s="251"/>
      <c r="O286" s="249"/>
      <c r="P286" s="250"/>
    </row>
    <row r="287" spans="1:16" s="121" customFormat="1" ht="52.5" hidden="1" customHeight="1" x14ac:dyDescent="0.25">
      <c r="A287" s="162"/>
      <c r="B287" s="163"/>
      <c r="C287" s="648"/>
      <c r="D287" s="253"/>
      <c r="E287" s="81"/>
      <c r="F287" s="82"/>
      <c r="G287" s="83"/>
      <c r="H287" s="134"/>
      <c r="I287" s="84"/>
      <c r="J287" s="85"/>
      <c r="K287" s="86"/>
      <c r="L287" s="135"/>
      <c r="M287" s="87">
        <f>K287</f>
        <v>0</v>
      </c>
      <c r="N287" s="160" t="e">
        <f>#REF!</f>
        <v>#REF!</v>
      </c>
      <c r="O287" s="135"/>
      <c r="P287" s="87" t="e">
        <f>K287-N287</f>
        <v>#REF!</v>
      </c>
    </row>
    <row r="288" spans="1:16" s="56" customFormat="1" ht="15" hidden="1" x14ac:dyDescent="0.25">
      <c r="A288" s="41"/>
      <c r="B288" s="96" t="s">
        <v>32</v>
      </c>
      <c r="C288" s="642"/>
      <c r="D288" s="44"/>
      <c r="E288" s="45"/>
      <c r="F288" s="46"/>
      <c r="G288" s="47"/>
      <c r="H288" s="48"/>
      <c r="I288" s="49"/>
      <c r="J288" s="50"/>
      <c r="K288" s="51"/>
      <c r="L288" s="53"/>
      <c r="M288" s="54"/>
      <c r="N288" s="55"/>
      <c r="O288" s="53"/>
      <c r="P288" s="54"/>
    </row>
    <row r="289" spans="1:16" s="121" customFormat="1" ht="13.2" hidden="1" x14ac:dyDescent="0.25">
      <c r="A289" s="116"/>
      <c r="B289" s="117"/>
      <c r="C289" s="654"/>
      <c r="D289" s="73"/>
      <c r="E289" s="254"/>
      <c r="F289" s="170"/>
      <c r="G289" s="83"/>
      <c r="H289" s="134"/>
      <c r="I289" s="118"/>
      <c r="J289" s="119"/>
      <c r="K289" s="120"/>
      <c r="L289" s="91"/>
      <c r="M289" s="87">
        <f>K289</f>
        <v>0</v>
      </c>
      <c r="N289" s="88"/>
      <c r="O289" s="91"/>
      <c r="P289" s="87">
        <f>K289-N289</f>
        <v>0</v>
      </c>
    </row>
    <row r="290" spans="1:16" s="9" customFormat="1" ht="15.75" hidden="1" customHeight="1" x14ac:dyDescent="0.25">
      <c r="A290" s="255"/>
      <c r="B290" s="256"/>
      <c r="C290" s="647"/>
      <c r="D290" s="426"/>
      <c r="E290" s="92"/>
      <c r="F290" s="93"/>
      <c r="G290" s="257"/>
      <c r="H290" s="114"/>
      <c r="I290" s="95"/>
      <c r="J290" s="207"/>
      <c r="K290" s="372"/>
      <c r="L290" s="135"/>
      <c r="M290" s="87">
        <f>K290</f>
        <v>0</v>
      </c>
      <c r="N290" s="88" t="e">
        <f>#REF!</f>
        <v>#REF!</v>
      </c>
      <c r="O290" s="135"/>
      <c r="P290" s="87" t="e">
        <f>K290-N290</f>
        <v>#REF!</v>
      </c>
    </row>
    <row r="291" spans="1:16" s="56" customFormat="1" ht="15.75" hidden="1" customHeight="1" x14ac:dyDescent="0.25">
      <c r="A291" s="41"/>
      <c r="B291" s="96" t="s">
        <v>34</v>
      </c>
      <c r="C291" s="642"/>
      <c r="D291" s="222"/>
      <c r="E291" s="50"/>
      <c r="F291" s="46"/>
      <c r="G291" s="47"/>
      <c r="H291" s="258"/>
      <c r="I291" s="49"/>
      <c r="J291" s="259"/>
      <c r="K291" s="51"/>
      <c r="L291" s="221"/>
      <c r="M291" s="222"/>
      <c r="N291" s="222"/>
      <c r="O291" s="221"/>
      <c r="P291" s="222"/>
    </row>
    <row r="292" spans="1:16" s="121" customFormat="1" ht="28.5" hidden="1" customHeight="1" x14ac:dyDescent="0.25">
      <c r="A292" s="116"/>
      <c r="B292" s="117"/>
      <c r="C292" s="654"/>
      <c r="D292" s="73"/>
      <c r="E292" s="254"/>
      <c r="F292" s="82"/>
      <c r="G292" s="83"/>
      <c r="H292" s="134"/>
      <c r="I292" s="118"/>
      <c r="J292" s="119"/>
      <c r="K292" s="120"/>
      <c r="L292" s="135"/>
      <c r="M292" s="87">
        <f>K292</f>
        <v>0</v>
      </c>
      <c r="N292" s="181" t="e">
        <f>#REF!</f>
        <v>#REF!</v>
      </c>
      <c r="O292" s="135"/>
      <c r="P292" s="87" t="e">
        <f>K292-N292</f>
        <v>#REF!</v>
      </c>
    </row>
    <row r="293" spans="1:16" s="56" customFormat="1" ht="15" hidden="1" x14ac:dyDescent="0.25">
      <c r="A293" s="41"/>
      <c r="B293" s="96" t="s">
        <v>33</v>
      </c>
      <c r="C293" s="642"/>
      <c r="D293" s="44"/>
      <c r="E293" s="45"/>
      <c r="F293" s="46"/>
      <c r="G293" s="47"/>
      <c r="H293" s="48"/>
      <c r="I293" s="49"/>
      <c r="J293" s="50"/>
      <c r="K293" s="51"/>
      <c r="L293" s="53"/>
      <c r="M293" s="54"/>
      <c r="N293" s="55"/>
      <c r="O293" s="53"/>
      <c r="P293" s="54"/>
    </row>
    <row r="294" spans="1:16" s="121" customFormat="1" ht="13.2" hidden="1" x14ac:dyDescent="0.25">
      <c r="A294" s="116"/>
      <c r="B294" s="117"/>
      <c r="C294" s="655"/>
      <c r="D294" s="73"/>
      <c r="E294" s="254"/>
      <c r="F294" s="170"/>
      <c r="G294" s="172"/>
      <c r="H294" s="260"/>
      <c r="I294" s="75"/>
      <c r="J294" s="76"/>
      <c r="K294" s="261"/>
      <c r="L294" s="91"/>
      <c r="M294" s="87">
        <f>K294</f>
        <v>0</v>
      </c>
      <c r="N294" s="88"/>
      <c r="O294" s="91"/>
      <c r="P294" s="87">
        <f>K294-N294</f>
        <v>0</v>
      </c>
    </row>
    <row r="295" spans="1:16" s="180" customFormat="1" ht="15.75" hidden="1" customHeight="1" x14ac:dyDescent="0.25">
      <c r="A295" s="262"/>
      <c r="B295" s="263"/>
      <c r="C295" s="656"/>
      <c r="D295" s="123"/>
      <c r="E295" s="265"/>
      <c r="F295" s="138"/>
      <c r="G295" s="165"/>
      <c r="H295" s="166"/>
      <c r="I295" s="109"/>
      <c r="J295" s="125"/>
      <c r="K295" s="266"/>
      <c r="L295" s="127"/>
      <c r="M295" s="128">
        <f>K295</f>
        <v>0</v>
      </c>
      <c r="N295" s="179" t="e">
        <f>#REF!</f>
        <v>#REF!</v>
      </c>
      <c r="O295" s="127"/>
      <c r="P295" s="128" t="e">
        <f>K295-N295</f>
        <v>#REF!</v>
      </c>
    </row>
    <row r="296" spans="1:16" s="56" customFormat="1" ht="15" hidden="1" x14ac:dyDescent="0.25">
      <c r="A296" s="41"/>
      <c r="B296" s="96" t="s">
        <v>5</v>
      </c>
      <c r="C296" s="642"/>
      <c r="D296" s="44"/>
      <c r="E296" s="45"/>
      <c r="F296" s="46"/>
      <c r="G296" s="47"/>
      <c r="H296" s="48"/>
      <c r="I296" s="49"/>
      <c r="J296" s="50"/>
      <c r="K296" s="51"/>
      <c r="L296" s="53"/>
      <c r="M296" s="54"/>
      <c r="N296" s="55"/>
      <c r="O296" s="53"/>
      <c r="P296" s="54"/>
    </row>
    <row r="297" spans="1:16" s="131" customFormat="1" ht="13.2" hidden="1" x14ac:dyDescent="0.25">
      <c r="A297" s="267"/>
      <c r="B297" s="268"/>
      <c r="C297" s="657"/>
      <c r="D297" s="270"/>
      <c r="E297" s="271"/>
      <c r="F297" s="138"/>
      <c r="G297" s="165"/>
      <c r="H297" s="124"/>
      <c r="I297" s="272"/>
      <c r="J297" s="273"/>
      <c r="K297" s="274"/>
      <c r="L297" s="127"/>
      <c r="M297" s="128">
        <f>K297</f>
        <v>0</v>
      </c>
      <c r="N297" s="179"/>
      <c r="O297" s="127"/>
      <c r="P297" s="128">
        <f>K297-N297</f>
        <v>0</v>
      </c>
    </row>
    <row r="298" spans="1:16" s="9" customFormat="1" ht="15.75" hidden="1" customHeight="1" x14ac:dyDescent="0.25">
      <c r="A298" s="255"/>
      <c r="B298" s="256"/>
      <c r="C298" s="647"/>
      <c r="D298" s="426"/>
      <c r="E298" s="92"/>
      <c r="F298" s="93"/>
      <c r="G298" s="257"/>
      <c r="H298" s="114"/>
      <c r="I298" s="95"/>
      <c r="J298" s="207"/>
      <c r="K298" s="372"/>
      <c r="L298" s="135"/>
      <c r="M298" s="87">
        <f>K298</f>
        <v>0</v>
      </c>
      <c r="N298" s="88" t="e">
        <f>#REF!</f>
        <v>#REF!</v>
      </c>
      <c r="O298" s="135"/>
      <c r="P298" s="87" t="e">
        <f>K298-N298</f>
        <v>#REF!</v>
      </c>
    </row>
    <row r="299" spans="1:16" s="56" customFormat="1" ht="15.75" hidden="1" customHeight="1" x14ac:dyDescent="0.25">
      <c r="A299" s="41"/>
      <c r="B299" s="42" t="s">
        <v>19</v>
      </c>
      <c r="C299" s="639"/>
      <c r="D299" s="44"/>
      <c r="E299" s="45"/>
      <c r="F299" s="46"/>
      <c r="G299" s="47"/>
      <c r="H299" s="48"/>
      <c r="I299" s="49"/>
      <c r="J299" s="50"/>
      <c r="K299" s="51"/>
      <c r="L299" s="53"/>
      <c r="M299" s="54"/>
      <c r="N299" s="55"/>
      <c r="O299" s="53"/>
      <c r="P299" s="54"/>
    </row>
    <row r="300" spans="1:16" s="121" customFormat="1" ht="41.25" hidden="1" customHeight="1" x14ac:dyDescent="0.25">
      <c r="A300" s="78"/>
      <c r="B300" s="79"/>
      <c r="C300" s="658"/>
      <c r="D300" s="80"/>
      <c r="E300" s="81"/>
      <c r="F300" s="82"/>
      <c r="G300" s="83"/>
      <c r="H300" s="134"/>
      <c r="I300" s="84"/>
      <c r="J300" s="85"/>
      <c r="K300" s="86"/>
      <c r="L300" s="135"/>
      <c r="M300" s="87">
        <f t="shared" ref="M300:M320" si="75">K300</f>
        <v>0</v>
      </c>
      <c r="N300" s="160" t="e">
        <f>#REF!</f>
        <v>#REF!</v>
      </c>
      <c r="O300" s="135"/>
      <c r="P300" s="87" t="e">
        <f t="shared" ref="P300:P323" si="76">K300-N300</f>
        <v>#REF!</v>
      </c>
    </row>
    <row r="301" spans="1:16" s="121" customFormat="1" ht="29.25" hidden="1" customHeight="1" x14ac:dyDescent="0.25">
      <c r="A301" s="78"/>
      <c r="B301" s="79"/>
      <c r="C301" s="658"/>
      <c r="D301" s="80"/>
      <c r="E301" s="81"/>
      <c r="F301" s="82"/>
      <c r="G301" s="83"/>
      <c r="H301" s="134"/>
      <c r="I301" s="174"/>
      <c r="J301" s="85"/>
      <c r="K301" s="86"/>
      <c r="L301" s="135"/>
      <c r="M301" s="87">
        <f t="shared" si="75"/>
        <v>0</v>
      </c>
      <c r="N301" s="88" t="e">
        <f>#REF!</f>
        <v>#REF!</v>
      </c>
      <c r="O301" s="135"/>
      <c r="P301" s="87" t="e">
        <f t="shared" si="76"/>
        <v>#REF!</v>
      </c>
    </row>
    <row r="302" spans="1:16" s="9" customFormat="1" ht="13.2" hidden="1" x14ac:dyDescent="0.25">
      <c r="A302" s="78"/>
      <c r="B302" s="79"/>
      <c r="D302" s="80"/>
      <c r="E302" s="81"/>
      <c r="F302" s="82"/>
      <c r="G302" s="83"/>
      <c r="H302" s="114"/>
      <c r="I302" s="84"/>
      <c r="J302" s="85"/>
      <c r="K302" s="86"/>
      <c r="L302" s="115"/>
      <c r="M302" s="87">
        <f t="shared" si="75"/>
        <v>0</v>
      </c>
      <c r="N302" s="88" t="e">
        <f>#REF!</f>
        <v>#REF!</v>
      </c>
      <c r="O302" s="115"/>
      <c r="P302" s="87" t="e">
        <f t="shared" si="76"/>
        <v>#REF!</v>
      </c>
    </row>
    <row r="303" spans="1:16" s="180" customFormat="1" ht="13.2" hidden="1" x14ac:dyDescent="0.25">
      <c r="A303" s="122"/>
      <c r="B303" s="176"/>
      <c r="C303" s="276"/>
      <c r="D303" s="177"/>
      <c r="E303" s="178"/>
      <c r="F303" s="138"/>
      <c r="G303" s="165"/>
      <c r="H303" s="166"/>
      <c r="I303" s="167"/>
      <c r="J303" s="168"/>
      <c r="K303" s="126"/>
      <c r="L303" s="169"/>
      <c r="M303" s="128">
        <f t="shared" si="75"/>
        <v>0</v>
      </c>
      <c r="N303" s="179" t="e">
        <f>#REF!</f>
        <v>#REF!</v>
      </c>
      <c r="O303" s="169"/>
      <c r="P303" s="128" t="e">
        <f t="shared" si="76"/>
        <v>#REF!</v>
      </c>
    </row>
    <row r="304" spans="1:16" s="180" customFormat="1" ht="36.9" hidden="1" customHeight="1" x14ac:dyDescent="0.25">
      <c r="A304" s="122"/>
      <c r="B304" s="176"/>
      <c r="C304" s="276"/>
      <c r="D304" s="177"/>
      <c r="E304" s="178"/>
      <c r="F304" s="138"/>
      <c r="G304" s="165"/>
      <c r="H304" s="166"/>
      <c r="I304" s="167"/>
      <c r="J304" s="168"/>
      <c r="K304" s="126"/>
      <c r="L304" s="169"/>
      <c r="M304" s="128">
        <f t="shared" si="75"/>
        <v>0</v>
      </c>
      <c r="N304" s="179" t="e">
        <f>#REF!</f>
        <v>#REF!</v>
      </c>
      <c r="O304" s="169"/>
      <c r="P304" s="128" t="e">
        <f t="shared" si="76"/>
        <v>#REF!</v>
      </c>
    </row>
    <row r="305" spans="1:16" s="9" customFormat="1" ht="36.9" hidden="1" customHeight="1" x14ac:dyDescent="0.25">
      <c r="A305" s="78"/>
      <c r="B305" s="79"/>
      <c r="C305" s="658"/>
      <c r="D305" s="80"/>
      <c r="E305" s="81"/>
      <c r="F305" s="170"/>
      <c r="G305" s="172"/>
      <c r="H305" s="173"/>
      <c r="I305" s="174"/>
      <c r="J305" s="171"/>
      <c r="K305" s="175"/>
      <c r="L305" s="68"/>
      <c r="M305" s="87">
        <f t="shared" si="75"/>
        <v>0</v>
      </c>
      <c r="N305" s="88" t="e">
        <f>#REF!</f>
        <v>#REF!</v>
      </c>
      <c r="O305" s="68"/>
      <c r="P305" s="87" t="e">
        <f t="shared" si="76"/>
        <v>#REF!</v>
      </c>
    </row>
    <row r="306" spans="1:16" s="9" customFormat="1" ht="36.9" hidden="1" customHeight="1" x14ac:dyDescent="0.25">
      <c r="A306" s="78"/>
      <c r="B306" s="79"/>
      <c r="C306" s="658"/>
      <c r="D306" s="80"/>
      <c r="E306" s="81"/>
      <c r="F306" s="170"/>
      <c r="G306" s="172"/>
      <c r="H306" s="173"/>
      <c r="I306" s="174"/>
      <c r="J306" s="171"/>
      <c r="K306" s="175"/>
      <c r="L306" s="68"/>
      <c r="M306" s="87">
        <f t="shared" si="75"/>
        <v>0</v>
      </c>
      <c r="N306" s="88" t="e">
        <f>#REF!</f>
        <v>#REF!</v>
      </c>
      <c r="O306" s="68"/>
      <c r="P306" s="87" t="e">
        <f t="shared" si="76"/>
        <v>#REF!</v>
      </c>
    </row>
    <row r="307" spans="1:16" s="9" customFormat="1" ht="36.9" hidden="1" customHeight="1" x14ac:dyDescent="0.25">
      <c r="A307" s="78"/>
      <c r="B307" s="79"/>
      <c r="C307" s="658"/>
      <c r="D307" s="80"/>
      <c r="E307" s="81"/>
      <c r="F307" s="82"/>
      <c r="G307" s="83"/>
      <c r="H307" s="114"/>
      <c r="I307" s="84"/>
      <c r="J307" s="85"/>
      <c r="K307" s="86"/>
      <c r="L307" s="115"/>
      <c r="M307" s="87">
        <f t="shared" si="75"/>
        <v>0</v>
      </c>
      <c r="N307" s="160" t="e">
        <f>#REF!</f>
        <v>#REF!</v>
      </c>
      <c r="O307" s="115"/>
      <c r="P307" s="87" t="e">
        <f t="shared" si="76"/>
        <v>#REF!</v>
      </c>
    </row>
    <row r="308" spans="1:16" s="9" customFormat="1" ht="26.25" hidden="1" customHeight="1" x14ac:dyDescent="0.25">
      <c r="A308" s="78"/>
      <c r="B308" s="79"/>
      <c r="C308" s="658"/>
      <c r="D308" s="80"/>
      <c r="E308" s="81"/>
      <c r="F308" s="82"/>
      <c r="G308" s="83"/>
      <c r="H308" s="114"/>
      <c r="I308" s="84"/>
      <c r="J308" s="85"/>
      <c r="K308" s="86"/>
      <c r="L308" s="115"/>
      <c r="M308" s="87">
        <f t="shared" si="75"/>
        <v>0</v>
      </c>
      <c r="N308" s="88" t="e">
        <f>#REF!</f>
        <v>#REF!</v>
      </c>
      <c r="O308" s="68"/>
      <c r="P308" s="87" t="e">
        <f t="shared" si="76"/>
        <v>#REF!</v>
      </c>
    </row>
    <row r="309" spans="1:16" s="180" customFormat="1" ht="26.25" hidden="1" customHeight="1" x14ac:dyDescent="0.25">
      <c r="A309" s="122"/>
      <c r="B309" s="176"/>
      <c r="C309" s="659"/>
      <c r="D309" s="177"/>
      <c r="E309" s="178"/>
      <c r="F309" s="138"/>
      <c r="G309" s="165"/>
      <c r="H309" s="166"/>
      <c r="I309" s="84"/>
      <c r="J309" s="85"/>
      <c r="K309" s="86"/>
      <c r="L309" s="169"/>
      <c r="M309" s="128">
        <f t="shared" si="75"/>
        <v>0</v>
      </c>
      <c r="N309" s="160" t="e">
        <f>#REF!</f>
        <v>#REF!</v>
      </c>
      <c r="O309" s="169"/>
      <c r="P309" s="128" t="e">
        <f t="shared" si="76"/>
        <v>#REF!</v>
      </c>
    </row>
    <row r="310" spans="1:16" s="180" customFormat="1" ht="26.25" hidden="1" customHeight="1" x14ac:dyDescent="0.25">
      <c r="A310" s="122"/>
      <c r="B310" s="176"/>
      <c r="C310" s="276"/>
      <c r="D310" s="177"/>
      <c r="E310" s="178"/>
      <c r="F310" s="138"/>
      <c r="G310" s="165"/>
      <c r="H310" s="166"/>
      <c r="I310" s="84"/>
      <c r="J310" s="85"/>
      <c r="K310" s="86"/>
      <c r="L310" s="169"/>
      <c r="M310" s="128">
        <f t="shared" si="75"/>
        <v>0</v>
      </c>
      <c r="N310" s="160" t="e">
        <f>#REF!</f>
        <v>#REF!</v>
      </c>
      <c r="O310" s="169"/>
      <c r="P310" s="128" t="e">
        <f t="shared" si="76"/>
        <v>#REF!</v>
      </c>
    </row>
    <row r="311" spans="1:16" s="9" customFormat="1" ht="26.25" hidden="1" customHeight="1" x14ac:dyDescent="0.25">
      <c r="A311" s="78"/>
      <c r="B311" s="79"/>
      <c r="C311" s="647"/>
      <c r="D311" s="80"/>
      <c r="E311" s="81"/>
      <c r="F311" s="82"/>
      <c r="G311" s="83"/>
      <c r="H311" s="114"/>
      <c r="I311" s="84"/>
      <c r="J311" s="85"/>
      <c r="K311" s="86"/>
      <c r="L311" s="115"/>
      <c r="M311" s="87">
        <f t="shared" si="75"/>
        <v>0</v>
      </c>
      <c r="N311" s="181" t="e">
        <f>#REF!</f>
        <v>#REF!</v>
      </c>
      <c r="O311" s="68"/>
      <c r="P311" s="87" t="e">
        <f t="shared" si="76"/>
        <v>#REF!</v>
      </c>
    </row>
    <row r="312" spans="1:16" s="180" customFormat="1" ht="26.25" hidden="1" customHeight="1" x14ac:dyDescent="0.25">
      <c r="A312" s="122"/>
      <c r="B312" s="176"/>
      <c r="C312" s="276"/>
      <c r="D312" s="177"/>
      <c r="E312" s="178"/>
      <c r="F312" s="138"/>
      <c r="G312" s="165"/>
      <c r="H312" s="166"/>
      <c r="I312" s="167"/>
      <c r="J312" s="168"/>
      <c r="K312" s="126"/>
      <c r="L312" s="169"/>
      <c r="M312" s="128">
        <f t="shared" si="75"/>
        <v>0</v>
      </c>
      <c r="N312" s="179" t="e">
        <f>#REF!</f>
        <v>#REF!</v>
      </c>
      <c r="O312" s="169"/>
      <c r="P312" s="128" t="e">
        <f t="shared" si="76"/>
        <v>#REF!</v>
      </c>
    </row>
    <row r="313" spans="1:16" s="9" customFormat="1" ht="26.25" hidden="1" customHeight="1" x14ac:dyDescent="0.25">
      <c r="A313" s="78"/>
      <c r="B313" s="79"/>
      <c r="C313" s="647"/>
      <c r="D313" s="80"/>
      <c r="E313" s="81"/>
      <c r="F313" s="278"/>
      <c r="G313" s="83"/>
      <c r="H313" s="114"/>
      <c r="I313" s="174"/>
      <c r="J313" s="171"/>
      <c r="K313" s="86"/>
      <c r="L313" s="115"/>
      <c r="M313" s="87">
        <f t="shared" si="75"/>
        <v>0</v>
      </c>
      <c r="N313" s="88" t="e">
        <f>#REF!</f>
        <v>#REF!</v>
      </c>
      <c r="O313" s="68"/>
      <c r="P313" s="87" t="e">
        <f t="shared" si="76"/>
        <v>#REF!</v>
      </c>
    </row>
    <row r="314" spans="1:16" s="9" customFormat="1" ht="26.25" hidden="1" customHeight="1" x14ac:dyDescent="0.25">
      <c r="A314" s="78"/>
      <c r="B314" s="79"/>
      <c r="C314" s="647"/>
      <c r="D314" s="80"/>
      <c r="E314" s="81"/>
      <c r="F314" s="278"/>
      <c r="G314" s="83"/>
      <c r="H314" s="114"/>
      <c r="I314" s="174"/>
      <c r="J314" s="279"/>
      <c r="K314" s="86"/>
      <c r="L314" s="115"/>
      <c r="M314" s="87">
        <f t="shared" si="75"/>
        <v>0</v>
      </c>
      <c r="N314" s="88" t="e">
        <f>#REF!</f>
        <v>#REF!</v>
      </c>
      <c r="O314" s="68"/>
      <c r="P314" s="87" t="e">
        <f t="shared" si="76"/>
        <v>#REF!</v>
      </c>
    </row>
    <row r="315" spans="1:16" s="180" customFormat="1" ht="26.25" hidden="1" customHeight="1" x14ac:dyDescent="0.25">
      <c r="A315" s="122"/>
      <c r="B315" s="176"/>
      <c r="C315" s="276"/>
      <c r="D315" s="177"/>
      <c r="E315" s="178"/>
      <c r="F315" s="280"/>
      <c r="G315" s="165"/>
      <c r="H315" s="166"/>
      <c r="I315" s="167"/>
      <c r="J315" s="281"/>
      <c r="K315" s="126"/>
      <c r="L315" s="169"/>
      <c r="M315" s="128">
        <f t="shared" si="75"/>
        <v>0</v>
      </c>
      <c r="N315" s="179" t="e">
        <f>#REF!</f>
        <v>#REF!</v>
      </c>
      <c r="O315" s="169"/>
      <c r="P315" s="128" t="e">
        <f t="shared" si="76"/>
        <v>#REF!</v>
      </c>
    </row>
    <row r="316" spans="1:16" s="9" customFormat="1" ht="43.5" hidden="1" customHeight="1" x14ac:dyDescent="0.25">
      <c r="A316" s="78"/>
      <c r="B316" s="79"/>
      <c r="C316" s="647"/>
      <c r="D316" s="80"/>
      <c r="E316" s="81"/>
      <c r="F316" s="278"/>
      <c r="G316" s="83"/>
      <c r="H316" s="114"/>
      <c r="I316" s="84"/>
      <c r="J316" s="282"/>
      <c r="K316" s="86"/>
      <c r="L316" s="115"/>
      <c r="M316" s="87">
        <f t="shared" si="75"/>
        <v>0</v>
      </c>
      <c r="N316" s="88" t="e">
        <f>#REF!</f>
        <v>#REF!</v>
      </c>
      <c r="O316" s="115"/>
      <c r="P316" s="87" t="e">
        <f t="shared" si="76"/>
        <v>#REF!</v>
      </c>
    </row>
    <row r="317" spans="1:16" s="9" customFormat="1" ht="31.65" hidden="1" customHeight="1" x14ac:dyDescent="0.25">
      <c r="A317" s="78"/>
      <c r="B317" s="79"/>
      <c r="C317" s="647"/>
      <c r="D317" s="80"/>
      <c r="E317" s="81"/>
      <c r="F317" s="278"/>
      <c r="G317" s="83"/>
      <c r="H317" s="114"/>
      <c r="I317" s="174"/>
      <c r="J317" s="279"/>
      <c r="K317" s="86"/>
      <c r="L317" s="115"/>
      <c r="M317" s="87">
        <f t="shared" si="75"/>
        <v>0</v>
      </c>
      <c r="N317" s="88" t="e">
        <f>#REF!</f>
        <v>#REF!</v>
      </c>
      <c r="O317" s="68"/>
      <c r="P317" s="87" t="e">
        <f t="shared" si="76"/>
        <v>#REF!</v>
      </c>
    </row>
    <row r="318" spans="1:16" s="9" customFormat="1" ht="32.25" hidden="1" customHeight="1" x14ac:dyDescent="0.25">
      <c r="A318" s="78"/>
      <c r="B318" s="79"/>
      <c r="C318" s="647"/>
      <c r="D318" s="80"/>
      <c r="E318" s="81"/>
      <c r="F318" s="82"/>
      <c r="G318" s="83"/>
      <c r="H318" s="114"/>
      <c r="I318" s="174"/>
      <c r="J318" s="171"/>
      <c r="K318" s="86"/>
      <c r="L318" s="115"/>
      <c r="M318" s="87">
        <f t="shared" si="75"/>
        <v>0</v>
      </c>
      <c r="N318" s="88" t="e">
        <f>#REF!</f>
        <v>#REF!</v>
      </c>
      <c r="O318" s="68"/>
      <c r="P318" s="87" t="e">
        <f t="shared" si="76"/>
        <v>#REF!</v>
      </c>
    </row>
    <row r="319" spans="1:16" s="9" customFormat="1" ht="26.25" hidden="1" customHeight="1" x14ac:dyDescent="0.25">
      <c r="A319" s="78"/>
      <c r="B319" s="79"/>
      <c r="C319" s="658"/>
      <c r="D319" s="80"/>
      <c r="E319" s="81"/>
      <c r="F319" s="82"/>
      <c r="G319" s="283"/>
      <c r="H319" s="114"/>
      <c r="I319" s="174"/>
      <c r="J319" s="171"/>
      <c r="K319" s="86"/>
      <c r="L319" s="115"/>
      <c r="M319" s="87">
        <f t="shared" si="75"/>
        <v>0</v>
      </c>
      <c r="N319" s="88" t="e">
        <f>#REF!</f>
        <v>#REF!</v>
      </c>
      <c r="O319" s="68"/>
      <c r="P319" s="87" t="e">
        <f t="shared" si="76"/>
        <v>#REF!</v>
      </c>
    </row>
    <row r="320" spans="1:16" s="9" customFormat="1" ht="26.25" hidden="1" customHeight="1" x14ac:dyDescent="0.25">
      <c r="A320" s="78"/>
      <c r="B320" s="79"/>
      <c r="C320" s="647"/>
      <c r="D320" s="80"/>
      <c r="E320" s="81"/>
      <c r="F320" s="82"/>
      <c r="G320" s="80"/>
      <c r="H320" s="114"/>
      <c r="I320" s="174"/>
      <c r="J320" s="171"/>
      <c r="K320" s="86"/>
      <c r="L320" s="115"/>
      <c r="M320" s="87">
        <f t="shared" si="75"/>
        <v>0</v>
      </c>
      <c r="N320" s="88" t="e">
        <f>#REF!</f>
        <v>#REF!</v>
      </c>
      <c r="O320" s="68"/>
      <c r="P320" s="87" t="e">
        <f t="shared" si="76"/>
        <v>#REF!</v>
      </c>
    </row>
    <row r="321" spans="1:16" s="9" customFormat="1" ht="26.25" hidden="1" customHeight="1" x14ac:dyDescent="0.25">
      <c r="A321" s="78"/>
      <c r="B321" s="79"/>
      <c r="C321" s="647"/>
      <c r="D321" s="80"/>
      <c r="E321" s="81"/>
      <c r="F321" s="82"/>
      <c r="G321" s="80"/>
      <c r="H321" s="114"/>
      <c r="I321" s="174"/>
      <c r="J321" s="171"/>
      <c r="K321" s="86"/>
      <c r="L321" s="115"/>
      <c r="M321" s="87"/>
      <c r="N321" s="88" t="e">
        <f>#REF!</f>
        <v>#REF!</v>
      </c>
      <c r="O321" s="68"/>
      <c r="P321" s="87" t="e">
        <f t="shared" si="76"/>
        <v>#REF!</v>
      </c>
    </row>
    <row r="322" spans="1:16" s="9" customFormat="1" ht="26.25" hidden="1" customHeight="1" x14ac:dyDescent="0.25">
      <c r="A322" s="78"/>
      <c r="B322" s="79"/>
      <c r="C322" s="647"/>
      <c r="D322" s="80"/>
      <c r="E322" s="81"/>
      <c r="F322" s="82"/>
      <c r="G322" s="80"/>
      <c r="H322" s="114"/>
      <c r="I322" s="174"/>
      <c r="J322" s="171"/>
      <c r="K322" s="86"/>
      <c r="L322" s="115"/>
      <c r="M322" s="87"/>
      <c r="N322" s="88" t="e">
        <f>#REF!</f>
        <v>#REF!</v>
      </c>
      <c r="O322" s="68"/>
      <c r="P322" s="87" t="e">
        <f t="shared" si="76"/>
        <v>#REF!</v>
      </c>
    </row>
    <row r="323" spans="1:16" s="9" customFormat="1" ht="26.25" hidden="1" customHeight="1" x14ac:dyDescent="0.25">
      <c r="A323" s="78"/>
      <c r="B323" s="79"/>
      <c r="C323" s="647"/>
      <c r="D323" s="80"/>
      <c r="E323" s="81"/>
      <c r="F323" s="82"/>
      <c r="G323" s="80"/>
      <c r="H323" s="114"/>
      <c r="I323" s="174"/>
      <c r="J323" s="171"/>
      <c r="K323" s="86"/>
      <c r="L323" s="115"/>
      <c r="M323" s="87"/>
      <c r="N323" s="88" t="e">
        <f>#REF!</f>
        <v>#REF!</v>
      </c>
      <c r="O323" s="68"/>
      <c r="P323" s="87" t="e">
        <f t="shared" si="76"/>
        <v>#REF!</v>
      </c>
    </row>
    <row r="324" spans="1:16" s="56" customFormat="1" ht="26.25" hidden="1" customHeight="1" x14ac:dyDescent="0.25">
      <c r="A324" s="41"/>
      <c r="B324" s="96" t="s">
        <v>37</v>
      </c>
      <c r="C324" s="642"/>
      <c r="D324" s="222"/>
      <c r="E324" s="50"/>
      <c r="F324" s="46"/>
      <c r="G324" s="47"/>
      <c r="H324" s="258"/>
      <c r="I324" s="284"/>
      <c r="J324" s="285"/>
      <c r="K324" s="51"/>
      <c r="L324" s="221"/>
      <c r="M324" s="222"/>
      <c r="N324" s="222"/>
      <c r="O324" s="221"/>
      <c r="P324" s="222"/>
    </row>
    <row r="325" spans="1:16" s="121" customFormat="1" ht="26.25" hidden="1" customHeight="1" x14ac:dyDescent="0.25">
      <c r="A325" s="116"/>
      <c r="B325" s="117"/>
      <c r="C325" s="654"/>
      <c r="D325" s="73"/>
      <c r="E325" s="254"/>
      <c r="F325" s="170"/>
      <c r="G325" s="83"/>
      <c r="H325" s="134"/>
      <c r="I325" s="75"/>
      <c r="J325" s="76"/>
      <c r="K325" s="120"/>
      <c r="L325" s="91"/>
      <c r="M325" s="87">
        <f>K325</f>
        <v>0</v>
      </c>
      <c r="N325" s="88"/>
      <c r="O325" s="91"/>
      <c r="P325" s="87">
        <f>K325-N325</f>
        <v>0</v>
      </c>
    </row>
    <row r="326" spans="1:16" s="296" customFormat="1" ht="26.25" hidden="1" customHeight="1" x14ac:dyDescent="0.25">
      <c r="A326" s="286"/>
      <c r="B326" s="287" t="s">
        <v>39</v>
      </c>
      <c r="C326" s="660"/>
      <c r="D326" s="288"/>
      <c r="E326" s="415"/>
      <c r="F326" s="289"/>
      <c r="G326" s="290"/>
      <c r="H326" s="291"/>
      <c r="I326" s="292"/>
      <c r="J326" s="293"/>
      <c r="K326" s="294"/>
      <c r="L326" s="295"/>
      <c r="M326" s="288"/>
      <c r="N326" s="288"/>
      <c r="O326" s="295"/>
      <c r="P326" s="288"/>
    </row>
    <row r="327" spans="1:16" s="121" customFormat="1" ht="26.25" hidden="1" customHeight="1" x14ac:dyDescent="0.25">
      <c r="A327" s="116"/>
      <c r="B327" s="117"/>
      <c r="C327" s="654"/>
      <c r="D327" s="73"/>
      <c r="E327" s="254"/>
      <c r="F327" s="297"/>
      <c r="G327" s="83"/>
      <c r="H327" s="134"/>
      <c r="I327" s="298"/>
      <c r="J327" s="299"/>
      <c r="K327" s="120"/>
      <c r="L327" s="91"/>
      <c r="M327" s="87">
        <f>K327</f>
        <v>0</v>
      </c>
      <c r="N327" s="88"/>
      <c r="O327" s="91"/>
      <c r="P327" s="87">
        <f>K327-N327</f>
        <v>0</v>
      </c>
    </row>
    <row r="328" spans="1:16" s="56" customFormat="1" ht="15" hidden="1" x14ac:dyDescent="0.25">
      <c r="A328" s="41"/>
      <c r="B328" s="96" t="s">
        <v>38</v>
      </c>
      <c r="C328" s="642"/>
      <c r="D328" s="44"/>
      <c r="E328" s="45"/>
      <c r="F328" s="46"/>
      <c r="G328" s="47"/>
      <c r="H328" s="48"/>
      <c r="I328" s="49"/>
      <c r="J328" s="50"/>
      <c r="K328" s="51"/>
      <c r="L328" s="53"/>
      <c r="M328" s="54"/>
      <c r="N328" s="55"/>
      <c r="O328" s="53"/>
      <c r="P328" s="54"/>
    </row>
    <row r="329" spans="1:16" s="121" customFormat="1" ht="15" hidden="1" x14ac:dyDescent="0.25">
      <c r="A329" s="116"/>
      <c r="B329" s="117"/>
      <c r="C329" s="661"/>
      <c r="D329" s="73"/>
      <c r="E329" s="81"/>
      <c r="F329" s="170"/>
      <c r="G329" s="172"/>
      <c r="H329" s="260"/>
      <c r="I329" s="301"/>
      <c r="J329" s="302"/>
      <c r="K329" s="303"/>
      <c r="L329" s="304"/>
      <c r="M329" s="87">
        <f>K329</f>
        <v>0</v>
      </c>
      <c r="N329" s="88"/>
      <c r="O329" s="91"/>
      <c r="P329" s="87">
        <f>K329-N329</f>
        <v>0</v>
      </c>
    </row>
    <row r="330" spans="1:16" s="9" customFormat="1" ht="15" hidden="1" x14ac:dyDescent="0.25">
      <c r="A330" s="255"/>
      <c r="B330" s="256"/>
      <c r="C330" s="662"/>
      <c r="D330" s="254"/>
      <c r="E330" s="81"/>
      <c r="F330" s="170"/>
      <c r="G330" s="172"/>
      <c r="H330" s="173"/>
      <c r="I330" s="301"/>
      <c r="J330" s="302"/>
      <c r="K330" s="303"/>
      <c r="L330" s="304"/>
      <c r="M330" s="87">
        <f>K330</f>
        <v>0</v>
      </c>
      <c r="N330" s="88"/>
      <c r="O330" s="91"/>
      <c r="P330" s="87">
        <f>K330-N330</f>
        <v>0</v>
      </c>
    </row>
    <row r="331" spans="1:16" s="9" customFormat="1" ht="13.2" hidden="1" x14ac:dyDescent="0.25">
      <c r="A331" s="255"/>
      <c r="B331" s="256"/>
      <c r="C331" s="663"/>
      <c r="D331" s="254"/>
      <c r="E331" s="74"/>
      <c r="F331" s="170"/>
      <c r="G331" s="172"/>
      <c r="H331" s="173"/>
      <c r="I331" s="301"/>
      <c r="J331" s="302"/>
      <c r="K331" s="303"/>
      <c r="L331" s="306"/>
      <c r="M331" s="87">
        <f>K331</f>
        <v>0</v>
      </c>
      <c r="N331" s="88"/>
      <c r="O331" s="91"/>
      <c r="P331" s="87">
        <f>K331-N331</f>
        <v>0</v>
      </c>
    </row>
    <row r="332" spans="1:16" s="9" customFormat="1" ht="13.2" hidden="1" x14ac:dyDescent="0.25">
      <c r="A332" s="255"/>
      <c r="B332" s="256"/>
      <c r="C332" s="663"/>
      <c r="D332" s="254"/>
      <c r="E332" s="74"/>
      <c r="F332" s="170"/>
      <c r="G332" s="172"/>
      <c r="H332" s="173"/>
      <c r="I332" s="301"/>
      <c r="J332" s="302"/>
      <c r="K332" s="303"/>
      <c r="L332" s="307"/>
      <c r="M332" s="87">
        <f>K332</f>
        <v>0</v>
      </c>
      <c r="N332" s="88"/>
      <c r="O332" s="91"/>
      <c r="P332" s="87">
        <f>K332-N332</f>
        <v>0</v>
      </c>
    </row>
    <row r="333" spans="1:16" s="180" customFormat="1" ht="27.9" hidden="1" customHeight="1" x14ac:dyDescent="0.25">
      <c r="A333" s="262"/>
      <c r="B333" s="263"/>
      <c r="C333" s="656"/>
      <c r="D333" s="308"/>
      <c r="E333" s="309"/>
      <c r="F333" s="310"/>
      <c r="G333" s="311"/>
      <c r="H333" s="166"/>
      <c r="I333" s="301"/>
      <c r="J333" s="302"/>
      <c r="K333" s="303"/>
      <c r="L333" s="169"/>
      <c r="M333" s="312">
        <f>K333</f>
        <v>0</v>
      </c>
      <c r="N333" s="313"/>
      <c r="O333" s="304"/>
      <c r="P333" s="312">
        <f>K333-N333</f>
        <v>0</v>
      </c>
    </row>
    <row r="334" spans="1:16" s="154" customFormat="1" ht="22.65" hidden="1" customHeight="1" collapsed="1" x14ac:dyDescent="0.25">
      <c r="A334" s="143" t="s">
        <v>3</v>
      </c>
      <c r="B334" s="144"/>
      <c r="C334" s="150"/>
      <c r="D334" s="146"/>
      <c r="E334" s="146"/>
      <c r="F334" s="147"/>
      <c r="G334" s="147"/>
      <c r="H334" s="148"/>
      <c r="I334" s="149"/>
      <c r="J334" s="184"/>
      <c r="K334" s="150"/>
      <c r="L334" s="152"/>
      <c r="M334" s="153"/>
      <c r="N334" s="153"/>
      <c r="O334" s="152"/>
      <c r="P334" s="153"/>
    </row>
    <row r="335" spans="1:16" s="40" customFormat="1" ht="23.25" hidden="1" customHeight="1" x14ac:dyDescent="0.3">
      <c r="A335" s="35" t="s">
        <v>11</v>
      </c>
      <c r="B335" s="36"/>
      <c r="C335" s="638"/>
      <c r="D335" s="38"/>
      <c r="E335" s="38"/>
      <c r="F335" s="39"/>
      <c r="G335" s="39"/>
      <c r="H335" s="155"/>
      <c r="J335" s="156"/>
      <c r="K335" s="157"/>
      <c r="L335" s="155"/>
      <c r="M335" s="158"/>
      <c r="N335" s="158"/>
      <c r="O335" s="155"/>
      <c r="P335" s="158"/>
    </row>
    <row r="336" spans="1:16" s="9" customFormat="1" ht="16.5" hidden="1" customHeight="1" x14ac:dyDescent="0.25">
      <c r="A336" s="97"/>
      <c r="B336" s="96"/>
      <c r="C336" s="642"/>
      <c r="D336" s="98"/>
      <c r="E336" s="99"/>
      <c r="F336" s="100"/>
      <c r="G336" s="101"/>
      <c r="H336" s="102"/>
      <c r="I336" s="103"/>
      <c r="J336" s="105"/>
      <c r="K336" s="106"/>
      <c r="L336" s="53"/>
      <c r="M336" s="54"/>
      <c r="N336" s="55"/>
      <c r="O336" s="53"/>
      <c r="P336" s="54"/>
    </row>
    <row r="337" spans="1:18" s="121" customFormat="1" ht="30.75" hidden="1" customHeight="1" x14ac:dyDescent="0.25">
      <c r="A337" s="78"/>
      <c r="B337" s="79"/>
      <c r="C337" s="664"/>
      <c r="D337" s="60"/>
      <c r="E337" s="107"/>
      <c r="F337" s="82"/>
      <c r="G337" s="83"/>
      <c r="H337" s="134"/>
      <c r="I337" s="84"/>
      <c r="J337" s="85"/>
      <c r="K337" s="86"/>
      <c r="L337" s="135"/>
      <c r="M337" s="87">
        <f>K337</f>
        <v>0</v>
      </c>
      <c r="N337" s="88" t="e">
        <f>#REF!</f>
        <v>#REF!</v>
      </c>
      <c r="O337" s="135"/>
      <c r="P337" s="87" t="e">
        <f>K337-N337</f>
        <v>#REF!</v>
      </c>
    </row>
    <row r="338" spans="1:18" s="154" customFormat="1" ht="22.65" hidden="1" customHeight="1" x14ac:dyDescent="0.25">
      <c r="A338" s="143" t="s">
        <v>21</v>
      </c>
      <c r="B338" s="144"/>
      <c r="C338" s="150"/>
      <c r="D338" s="146"/>
      <c r="E338" s="146"/>
      <c r="F338" s="147"/>
      <c r="G338" s="147"/>
      <c r="H338" s="148"/>
      <c r="I338" s="149"/>
      <c r="J338" s="184"/>
      <c r="K338" s="150"/>
      <c r="L338" s="152"/>
      <c r="M338" s="153"/>
      <c r="N338" s="151"/>
      <c r="O338" s="152"/>
      <c r="P338" s="153"/>
    </row>
    <row r="339" spans="1:18" s="195" customFormat="1" ht="21" hidden="1" customHeight="1" x14ac:dyDescent="0.25">
      <c r="A339" s="185" t="s">
        <v>24</v>
      </c>
      <c r="B339" s="186"/>
      <c r="C339" s="192"/>
      <c r="D339" s="188"/>
      <c r="E339" s="188"/>
      <c r="F339" s="189"/>
      <c r="G339" s="189"/>
      <c r="H339" s="190"/>
      <c r="I339" s="191"/>
      <c r="J339" s="186"/>
      <c r="K339" s="192"/>
      <c r="L339" s="194"/>
      <c r="M339" s="192"/>
      <c r="N339" s="193"/>
      <c r="O339" s="194"/>
      <c r="P339" s="192"/>
    </row>
    <row r="340" spans="1:18" s="195" customFormat="1" ht="27.9" hidden="1" customHeight="1" x14ac:dyDescent="0.25">
      <c r="A340" s="314" t="s">
        <v>25</v>
      </c>
      <c r="B340" s="315"/>
      <c r="C340" s="321"/>
      <c r="D340" s="317"/>
      <c r="E340" s="317"/>
      <c r="F340" s="318"/>
      <c r="G340" s="318"/>
      <c r="H340" s="319"/>
      <c r="I340" s="320"/>
      <c r="J340" s="315"/>
      <c r="K340" s="321"/>
      <c r="L340" s="194"/>
      <c r="M340" s="322">
        <f t="shared" ref="M340:N340" si="77">M339+M265</f>
        <v>2807</v>
      </c>
      <c r="N340" s="322">
        <f t="shared" si="77"/>
        <v>18</v>
      </c>
      <c r="O340" s="194"/>
      <c r="P340" s="322">
        <f>P339+P265</f>
        <v>2789</v>
      </c>
    </row>
    <row r="341" spans="1:18" s="327" customFormat="1" ht="13.2" hidden="1" x14ac:dyDescent="0.25">
      <c r="A341" s="323"/>
      <c r="B341" s="323"/>
      <c r="C341" s="665"/>
      <c r="D341" s="325"/>
      <c r="E341" s="416"/>
      <c r="F341" s="325"/>
      <c r="G341" s="325"/>
      <c r="H341" s="326"/>
      <c r="J341" s="323"/>
      <c r="K341" s="323"/>
      <c r="L341" s="326"/>
      <c r="M341" s="323"/>
      <c r="N341" s="323"/>
      <c r="O341" s="326"/>
      <c r="P341" s="323"/>
    </row>
    <row r="342" spans="1:18" ht="22.65" hidden="1" customHeight="1" x14ac:dyDescent="0.25"/>
    <row r="343" spans="1:18" ht="22.65" hidden="1" customHeight="1" x14ac:dyDescent="0.25"/>
    <row r="345" spans="1:18" s="9" customFormat="1" ht="22.65" customHeight="1" x14ac:dyDescent="0.25">
      <c r="A345" s="2"/>
      <c r="B345" s="2"/>
      <c r="C345" s="8"/>
      <c r="D345" s="4"/>
      <c r="E345" s="4"/>
      <c r="F345" s="5"/>
      <c r="G345" s="5"/>
      <c r="H345" s="6"/>
      <c r="I345" s="7"/>
      <c r="J345" s="2"/>
      <c r="K345" s="8"/>
      <c r="L345" s="6"/>
      <c r="M345" s="8"/>
      <c r="N345" s="8"/>
      <c r="O345" s="6"/>
      <c r="P345" s="8"/>
      <c r="Q345" s="10"/>
    </row>
    <row r="346" spans="1:18" ht="22.65" customHeight="1" x14ac:dyDescent="0.25">
      <c r="R346" s="483" t="s">
        <v>93</v>
      </c>
    </row>
  </sheetData>
  <dataConsolidate/>
  <mergeCells count="36">
    <mergeCell ref="A7:L7"/>
    <mergeCell ref="M7:O8"/>
    <mergeCell ref="P7:P9"/>
    <mergeCell ref="A8:D9"/>
    <mergeCell ref="E8:E10"/>
    <mergeCell ref="I8:K8"/>
    <mergeCell ref="I66:K66"/>
    <mergeCell ref="C69:C72"/>
    <mergeCell ref="C80:C82"/>
    <mergeCell ref="C87:C90"/>
    <mergeCell ref="C21:C23"/>
    <mergeCell ref="C32:C35"/>
    <mergeCell ref="C37:C38"/>
    <mergeCell ref="C39:C40"/>
    <mergeCell ref="C49:C50"/>
    <mergeCell ref="C24:C27"/>
    <mergeCell ref="C53:C55"/>
    <mergeCell ref="C93:C95"/>
    <mergeCell ref="C107:C121"/>
    <mergeCell ref="C123:C124"/>
    <mergeCell ref="C134:C136"/>
    <mergeCell ref="C51:C52"/>
    <mergeCell ref="C57:C65"/>
    <mergeCell ref="C97:C98"/>
    <mergeCell ref="C142:C146"/>
    <mergeCell ref="C148:C149"/>
    <mergeCell ref="C156:C157"/>
    <mergeCell ref="C171:C173"/>
    <mergeCell ref="I194:K194"/>
    <mergeCell ref="C269:C270"/>
    <mergeCell ref="C199:C201"/>
    <mergeCell ref="C203:C204"/>
    <mergeCell ref="C205:C206"/>
    <mergeCell ref="C208:C210"/>
    <mergeCell ref="C214:C216"/>
    <mergeCell ref="C229:C246"/>
  </mergeCells>
  <printOptions horizontalCentered="1"/>
  <pageMargins left="0.25" right="0.25" top="0.75" bottom="0.75" header="0.3" footer="0.3"/>
  <pageSetup paperSize="9" scale="81" fitToHeight="0" orientation="landscape" r:id="rId1"/>
  <headerFooter>
    <oddHeader xml:space="preserve">&amp;R  </oddHeader>
    <oddFooter>&amp;R&amp;P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декабрь</vt:lpstr>
      <vt:lpstr>январь</vt:lpstr>
      <vt:lpstr>февраль</vt:lpstr>
      <vt:lpstr>март</vt:lpstr>
      <vt:lpstr>апрель</vt:lpstr>
      <vt:lpstr>май</vt:lpstr>
      <vt:lpstr>апрель!Область_печати</vt:lpstr>
      <vt:lpstr>декабрь!Область_печати</vt:lpstr>
      <vt:lpstr>май!Область_печати</vt:lpstr>
      <vt:lpstr>март!Область_печати</vt:lpstr>
      <vt:lpstr>февраль!Область_печати</vt:lpstr>
      <vt:lpstr>январь!Область_печати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Лариса</cp:lastModifiedBy>
  <cp:lastPrinted>2024-03-27T05:21:51Z</cp:lastPrinted>
  <dcterms:created xsi:type="dcterms:W3CDTF">1996-10-08T23:32:33Z</dcterms:created>
  <dcterms:modified xsi:type="dcterms:W3CDTF">2024-05-06T06:40:15Z</dcterms:modified>
</cp:coreProperties>
</file>